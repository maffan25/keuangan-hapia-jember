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nsaksi" sheetId="2" state="visible" r:id="rId4"/>
    <sheet name="Buku Kas" sheetId="3" state="visible" r:id="rId5"/>
    <sheet name="Rekap Bulanan" sheetId="4" state="visible" r:id="rId6"/>
    <sheet name="Anggaran" sheetId="5" state="visible" r:id="rId7"/>
    <sheet name="Event" sheetId="6" state="visible" r:id="rId8"/>
    <sheet name="Aset" sheetId="7" state="visible" r:id="rId9"/>
    <sheet name="Laporan" sheetId="8" state="visible" r:id="rId10"/>
    <sheet name="Laporan Event" sheetId="9" state="visible" r:id="rId11"/>
    <sheet name="Pengaturan" sheetId="10" state="visible" r:id="rId12"/>
    <sheet name="Panduan" sheetId="11" state="visible" r:id="rId13"/>
  </sheets>
  <definedNames>
    <definedName function="false" hidden="false" localSheetId="6" name="_xlnm.Print_Titles" vbProcedure="false">Aset!$5:$5</definedName>
    <definedName function="false" hidden="false" localSheetId="2" name="_xlnm.Print_Titles" vbProcedure="false">'Buku Kas'!$5:$5</definedName>
    <definedName function="false" hidden="false" localSheetId="5" name="_xlnm.Print_Titles" vbProcedure="false">Event!$8:$8</definedName>
    <definedName function="false" hidden="false" localSheetId="1" name="_xlnm.Print_Titles" vbProcedure="false">Transaksi!$5:$5</definedName>
    <definedName function="false" hidden="true" localSheetId="1" name="_xlnm._FilterDatabase" vbProcedure="false">Transaksi!$B$5:$O$505</definedName>
    <definedName function="false" hidden="false" name="DaftarAkun" vbProcedure="false">Pengaturan!$F$19:$F$20</definedName>
    <definedName function="false" hidden="false" name="DaftarEvent" vbProcedure="false">OFFSET(Event!$C$9,0,0,MAX(1,COUNTA(Event!$C$9:$C$28)),1)</definedName>
    <definedName function="false" hidden="false" name="DaftarJenis" vbProcedure="false">Pengaturan!$J$19:$J$20</definedName>
    <definedName function="false" hidden="false" name="DaftarKondisi" vbProcedure="false">Pengaturan!$L$19:$L$21</definedName>
    <definedName function="false" hidden="false" name="KatKeluar" vbProcedure="false">OFFSET(Pengaturan!$D$19,0,0,MAX(1,COUNTA(Pengaturan!$D$19:$D$30)),1)</definedName>
    <definedName function="false" hidden="false" name="KatMasuk" vbProcedure="false">OFFSET(Pengaturan!$B$19,0,0,MAX(1,COUNTA(Pengaturan!$B$19:$B$26)),1)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<sst xmlns="http://schemas.openxmlformats.org/spreadsheetml/2006/main" count="624" uniqueCount="347">
  <si>
    <t xml:space="preserve">DATA KEUANGAN HAPIA JEMBER</t>
  </si>
  <si>
    <t xml:space="preserve">TOTAL SALDO (KAS + BANK)</t>
  </si>
  <si>
    <t xml:space="preserve">TOTAL PEMASUKAN</t>
  </si>
  <si>
    <t xml:space="preserve">TOTAL PENGELUARAN</t>
  </si>
  <si>
    <t xml:space="preserve">SURPLUS / (DEFISIT)</t>
  </si>
  <si>
    <t xml:space="preserve">SALDO KAS TUNAI</t>
  </si>
  <si>
    <t xml:space="preserve">SALDO REKENING BANK</t>
  </si>
  <si>
    <t xml:space="preserve">TOTAL EVENT</t>
  </si>
  <si>
    <t xml:space="preserve">JUMLAH TRANSAKSI</t>
  </si>
  <si>
    <t xml:space="preserve">▌ PEMASUKAN vs PENGELUARAN PER BULAN</t>
  </si>
  <si>
    <t xml:space="preserve">▌ PERKEMBANGAN SALDO</t>
  </si>
  <si>
    <t xml:space="preserve">▌ ANGGARAN vs REALISASI PENGELUARAN</t>
  </si>
  <si>
    <t xml:space="preserve">▌ 5 TRANSAKSI TERAKHIR</t>
  </si>
  <si>
    <t xml:space="preserve">Tanggal</t>
  </si>
  <si>
    <t xml:space="preserve">Uraian</t>
  </si>
  <si>
    <t xml:space="preserve">Jenis</t>
  </si>
  <si>
    <t xml:space="preserve">Jumlah (Rp)</t>
  </si>
  <si>
    <t xml:space="preserve">STATUS ANGGARAN PENGELUARAN</t>
  </si>
  <si>
    <t xml:space="preserve">Aman</t>
  </si>
  <si>
    <t xml:space="preserve">Waspada</t>
  </si>
  <si>
    <t xml:space="preserve">Melebihi anggaran</t>
  </si>
  <si>
    <t xml:space="preserve">Hasil bersih seluruh event:</t>
  </si>
  <si>
    <t xml:space="preserve">Data pada file ini adalah CONTOH — hapus &amp; ganti dengan data asli (lihat sheet Panduan).</t>
  </si>
  <si>
    <t xml:space="preserve">▌ KEUANGAN PER EVENT (Pemasukan vs Pengeluaran)</t>
  </si>
  <si>
    <t xml:space="preserve">Grafik menampilkan 12 event pertama pada sheet Event.</t>
  </si>
  <si>
    <t xml:space="preserve">JURNAL TRANSAKSI — isi baris berikutnya di bawah data terakhir. Sel putih biru = input · sel krem = otomatis.</t>
  </si>
  <si>
    <t xml:space="preserve">TOTAL ▶</t>
  </si>
  <si>
    <t xml:space="preserve">No</t>
  </si>
  <si>
    <t xml:space="preserve">No. Bukti</t>
  </si>
  <si>
    <t xml:space="preserve">Kategori</t>
  </si>
  <si>
    <t xml:space="preserve">Akun</t>
  </si>
  <si>
    <t xml:space="preserve">Uraian Transaksi</t>
  </si>
  <si>
    <t xml:space="preserve">Pemasukan (Rp)</t>
  </si>
  <si>
    <t xml:space="preserve">Pengeluaran (Rp)</t>
  </si>
  <si>
    <t xml:space="preserve">Bulan</t>
  </si>
  <si>
    <t xml:space="preserve">Penanggung Jawab</t>
  </si>
  <si>
    <t xml:space="preserve">Keterangan</t>
  </si>
  <si>
    <t xml:space="preserve">Event (opsional)</t>
  </si>
  <si>
    <t xml:space="preserve">KK-001</t>
  </si>
  <si>
    <t xml:space="preserve">Pengeluaran</t>
  </si>
  <si>
    <t xml:space="preserve">Sewa &amp; Utilitas</t>
  </si>
  <si>
    <t xml:space="preserve">Bank</t>
  </si>
  <si>
    <t xml:space="preserve">Sewa sekretariat triwulan I</t>
  </si>
  <si>
    <t xml:space="preserve">Bendahara</t>
  </si>
  <si>
    <t xml:space="preserve">KM-001</t>
  </si>
  <si>
    <t xml:space="preserve">Pemasukan</t>
  </si>
  <si>
    <t xml:space="preserve">Donasi</t>
  </si>
  <si>
    <t xml:space="preserve">Donasi Bapak H. Santoso untuk seminar</t>
  </si>
  <si>
    <t xml:space="preserve">Ketua</t>
  </si>
  <si>
    <t xml:space="preserve">Contoh data</t>
  </si>
  <si>
    <t xml:space="preserve">Seminar Nasional Pendidikan</t>
  </si>
  <si>
    <t xml:space="preserve">KK-002</t>
  </si>
  <si>
    <t xml:space="preserve">ATK &amp; Percetakan</t>
  </si>
  <si>
    <t xml:space="preserve">Kas Tunai</t>
  </si>
  <si>
    <t xml:space="preserve">Cetak kartu anggota</t>
  </si>
  <si>
    <t xml:space="preserve">Sekretaris</t>
  </si>
  <si>
    <t xml:space="preserve">KK-003</t>
  </si>
  <si>
    <t xml:space="preserve">Konsumsi</t>
  </si>
  <si>
    <t xml:space="preserve">Konsumsi rapat kerja awal tahun</t>
  </si>
  <si>
    <t xml:space="preserve">Seksi Konsumsi</t>
  </si>
  <si>
    <t xml:space="preserve">Rapat Kerja Awal Tahun</t>
  </si>
  <si>
    <t xml:space="preserve">KK-004</t>
  </si>
  <si>
    <t xml:space="preserve">Administrasi Bank</t>
  </si>
  <si>
    <t xml:space="preserve">Biaya administrasi bank Januari</t>
  </si>
  <si>
    <t xml:space="preserve">Potongan otomatis</t>
  </si>
  <si>
    <t xml:space="preserve">KM-002</t>
  </si>
  <si>
    <t xml:space="preserve">Pendaftaran / Tiket Event</t>
  </si>
  <si>
    <t xml:space="preserve">Pendaftaran peserta seminar</t>
  </si>
  <si>
    <t xml:space="preserve">KM-003</t>
  </si>
  <si>
    <t xml:space="preserve">Sponsor</t>
  </si>
  <si>
    <t xml:space="preserve">Sponsor seminar dari CV Maju Jaya</t>
  </si>
  <si>
    <t xml:space="preserve">KK-005</t>
  </si>
  <si>
    <t xml:space="preserve">Kegiatan / Program</t>
  </si>
  <si>
    <t xml:space="preserve">Penyelenggaraan seminar</t>
  </si>
  <si>
    <t xml:space="preserve">Ketua Panitia</t>
  </si>
  <si>
    <t xml:space="preserve">Dibiayai sponsor &amp; kas</t>
  </si>
  <si>
    <t xml:space="preserve">KK-006</t>
  </si>
  <si>
    <t xml:space="preserve">Biaya administrasi bank Februari</t>
  </si>
  <si>
    <t xml:space="preserve">KM-004</t>
  </si>
  <si>
    <t xml:space="preserve">Hasil Usaha / Bazar</t>
  </si>
  <si>
    <t xml:space="preserve">Hasil bazar kuliner Ramadan</t>
  </si>
  <si>
    <t xml:space="preserve">Seksi Usaha</t>
  </si>
  <si>
    <t xml:space="preserve">Bazar &amp; Buka Puasa Bersama</t>
  </si>
  <si>
    <t xml:space="preserve">KK-007</t>
  </si>
  <si>
    <t xml:space="preserve">Buka puasa bersama anggota</t>
  </si>
  <si>
    <t xml:space="preserve">KK-008</t>
  </si>
  <si>
    <t xml:space="preserve">Biaya administrasi bank Maret</t>
  </si>
  <si>
    <t xml:space="preserve">KM-005</t>
  </si>
  <si>
    <t xml:space="preserve">Bunga Bank</t>
  </si>
  <si>
    <t xml:space="preserve">Bunga tabungan triwulan I</t>
  </si>
  <si>
    <t xml:space="preserve">KK-009</t>
  </si>
  <si>
    <t xml:space="preserve">Sewa sekretariat triwulan II</t>
  </si>
  <si>
    <t xml:space="preserve">KK-010</t>
  </si>
  <si>
    <t xml:space="preserve">Sosial / Santunan</t>
  </si>
  <si>
    <t xml:space="preserve">Santunan anak yatim</t>
  </si>
  <si>
    <t xml:space="preserve">Seksi Sosial</t>
  </si>
  <si>
    <t xml:space="preserve">Santunan Anak Yatim</t>
  </si>
  <si>
    <t xml:space="preserve">KK-011</t>
  </si>
  <si>
    <t xml:space="preserve">Biaya administrasi bank April</t>
  </si>
  <si>
    <t xml:space="preserve">KK-012</t>
  </si>
  <si>
    <t xml:space="preserve">Transportasi</t>
  </si>
  <si>
    <t xml:space="preserve">Transport koordinasi pengurus</t>
  </si>
  <si>
    <t xml:space="preserve">KK-013</t>
  </si>
  <si>
    <t xml:space="preserve">Biaya administrasi bank Mei</t>
  </si>
  <si>
    <t xml:space="preserve">KK-014</t>
  </si>
  <si>
    <t xml:space="preserve">Perlengkapan / Aset</t>
  </si>
  <si>
    <t xml:space="preserve">Pembelian proyektor</t>
  </si>
  <si>
    <t xml:space="preserve">Tercatat di sheet Aset</t>
  </si>
  <si>
    <t xml:space="preserve">KM-006</t>
  </si>
  <si>
    <t xml:space="preserve">Hibah / Bantuan</t>
  </si>
  <si>
    <t xml:space="preserve">Bantuan dana kegiatan organisasi</t>
  </si>
  <si>
    <t xml:space="preserve">Pelatihan Peningkatan Kapasitas</t>
  </si>
  <si>
    <t xml:space="preserve">KM-007</t>
  </si>
  <si>
    <t xml:space="preserve">Pendaftaran peserta pelatihan</t>
  </si>
  <si>
    <t xml:space="preserve">KK-015</t>
  </si>
  <si>
    <t xml:space="preserve">Pelatihan peningkatan kapasitas anggota</t>
  </si>
  <si>
    <t xml:space="preserve">KK-016</t>
  </si>
  <si>
    <t xml:space="preserve">Honor / Insentif</t>
  </si>
  <si>
    <t xml:space="preserve">Honor narasumber pelatihan</t>
  </si>
  <si>
    <t xml:space="preserve">KK-017</t>
  </si>
  <si>
    <t xml:space="preserve">Biaya administrasi bank Juni</t>
  </si>
  <si>
    <t xml:space="preserve">KM-008</t>
  </si>
  <si>
    <t xml:space="preserve">Bunga tabungan triwulan II</t>
  </si>
  <si>
    <t xml:space="preserve">KK-018</t>
  </si>
  <si>
    <t xml:space="preserve">Sewa sekretariat triwulan III</t>
  </si>
  <si>
    <t xml:space="preserve">KK-019</t>
  </si>
  <si>
    <t xml:space="preserve">Biaya administrasi bank Juli</t>
  </si>
  <si>
    <t xml:space="preserve">KM-009</t>
  </si>
  <si>
    <t xml:space="preserve">Donasi anggota untuk HUT RI</t>
  </si>
  <si>
    <t xml:space="preserve">Seksi Acara</t>
  </si>
  <si>
    <t xml:space="preserve">Perayaan HUT RI</t>
  </si>
  <si>
    <t xml:space="preserve">KK-020</t>
  </si>
  <si>
    <t xml:space="preserve">Lomba perayaan HUT RI</t>
  </si>
  <si>
    <t xml:space="preserve">KK-021</t>
  </si>
  <si>
    <t xml:space="preserve">Biaya administrasi bank Agustus</t>
  </si>
  <si>
    <t xml:space="preserve">KK-022</t>
  </si>
  <si>
    <t xml:space="preserve">Pembelian kursi plastik dan banner</t>
  </si>
  <si>
    <t xml:space="preserve">KK-023</t>
  </si>
  <si>
    <t xml:space="preserve">Santunan musibah anggota</t>
  </si>
  <si>
    <t xml:space="preserve">KK-024</t>
  </si>
  <si>
    <t xml:space="preserve">Biaya administrasi bank September</t>
  </si>
  <si>
    <t xml:space="preserve">KM-010</t>
  </si>
  <si>
    <t xml:space="preserve">Bunga tabungan triwulan III</t>
  </si>
  <si>
    <t xml:space="preserve">KK-025</t>
  </si>
  <si>
    <t xml:space="preserve">Sewa sekretariat triwulan IV</t>
  </si>
  <si>
    <t xml:space="preserve">KK-026</t>
  </si>
  <si>
    <t xml:space="preserve">Fotokopi dan materai</t>
  </si>
  <si>
    <t xml:space="preserve">KK-027</t>
  </si>
  <si>
    <t xml:space="preserve">Konsumsi rapat evaluasi</t>
  </si>
  <si>
    <t xml:space="preserve">Rapat Evaluasi Triwulan III</t>
  </si>
  <si>
    <t xml:space="preserve">KK-028</t>
  </si>
  <si>
    <t xml:space="preserve">Biaya administrasi bank Oktober</t>
  </si>
  <si>
    <t xml:space="preserve">KK-029</t>
  </si>
  <si>
    <t xml:space="preserve">Transport survei lokasi kegiatan</t>
  </si>
  <si>
    <t xml:space="preserve">Seminar Akhir Tahun</t>
  </si>
  <si>
    <t xml:space="preserve">Jangan diisi manual — seluruh kolom terhubung ke sheet Transaksi.</t>
  </si>
  <si>
    <t xml:space="preserve">Masuk (Rp)</t>
  </si>
  <si>
    <t xml:space="preserve">Keluar (Rp)</t>
  </si>
  <si>
    <t xml:space="preserve">Saldo Kas Tunai</t>
  </si>
  <si>
    <t xml:space="preserve">Saldo Bank</t>
  </si>
  <si>
    <t xml:space="preserve">Saldo Total</t>
  </si>
  <si>
    <t xml:space="preserve">SALDO AWAL</t>
  </si>
  <si>
    <t xml:space="preserve">Saldo Awal (Rp)</t>
  </si>
  <si>
    <t xml:space="preserve">Surplus / (Defisit)</t>
  </si>
  <si>
    <t xml:space="preserve">Saldo Akhir (Rp)</t>
  </si>
  <si>
    <t xml:space="preserve">Rasio Keluar</t>
  </si>
  <si>
    <t xml:space="preserve">TOTAL</t>
  </si>
  <si>
    <t xml:space="preserve">Catatan: grafik di bawah dan di Dashboard otomatis mengikuti tabel ini.</t>
  </si>
  <si>
    <t xml:space="preserve">A. PEMASUKAN (Target vs Realisasi)</t>
  </si>
  <si>
    <t xml:space="preserve">Target Tahunan (Rp)</t>
  </si>
  <si>
    <t xml:space="preserve">Realisasi (Rp)</t>
  </si>
  <si>
    <t xml:space="preserve">Selisih (Rp)</t>
  </si>
  <si>
    <t xml:space="preserve">% Tercapai</t>
  </si>
  <si>
    <t xml:space="preserve">Status</t>
  </si>
  <si>
    <t xml:space="preserve">B. PENGELUARAN (Anggaran vs Realisasi)</t>
  </si>
  <si>
    <t xml:space="preserve">Anggaran Tahunan (Rp)</t>
  </si>
  <si>
    <t xml:space="preserve">Sisa Anggaran (Rp)</t>
  </si>
  <si>
    <t xml:space="preserve">% Terserap</t>
  </si>
  <si>
    <t xml:space="preserve">C. SURPLUS / (DEFISIT)</t>
  </si>
  <si>
    <t xml:space="preserve">Rencana (Target Pemasukan − Anggaran Pengeluaran)</t>
  </si>
  <si>
    <t xml:space="preserve">Realisasi (Pemasukan − Pengeluaran)</t>
  </si>
  <si>
    <t xml:space="preserve">Pengecekan: total realisasi di atas harus sama dengan total di sheet Transaksi.</t>
  </si>
  <si>
    <t xml:space="preserve">Selisih pemasukan vs Transaksi:</t>
  </si>
  <si>
    <t xml:space="preserve">Selisih pengeluaran vs Transaksi:</t>
  </si>
  <si>
    <t xml:space="preserve">JUMLAH EVENT</t>
  </si>
  <si>
    <t xml:space="preserve">TOTAL PEMASUKAN EVENT</t>
  </si>
  <si>
    <t xml:space="preserve">TOTAL PENGELUARAN EVENT</t>
  </si>
  <si>
    <t xml:space="preserve">HASIL BERSIH EVENT</t>
  </si>
  <si>
    <t xml:space="preserve">EVENT MELEBIHI ANGGARAN</t>
  </si>
  <si>
    <t xml:space="preserve">Cara pakai: (1) daftarkan event di tabel ini (kolom putih), (2) di sheet Transaksi pilih nama event pada kolom 'Event' untuk setiap transaksi terkait. Kolom krem terisi otomatis.</t>
  </si>
  <si>
    <t xml:space="preserve">Nama Event</t>
  </si>
  <si>
    <t xml:space="preserve">Tgl Mulai</t>
  </si>
  <si>
    <t xml:space="preserve">Tgl Selesai</t>
  </si>
  <si>
    <t xml:space="preserve">Lokasi</t>
  </si>
  <si>
    <t xml:space="preserve">Anggaran (Rp)</t>
  </si>
  <si>
    <t xml:space="preserve">Hasil Bersih (Rp)</t>
  </si>
  <si>
    <t xml:space="preserve">Serapan Anggaran</t>
  </si>
  <si>
    <t xml:space="preserve">Jml Transaksi</t>
  </si>
  <si>
    <t xml:space="preserve">Status Waktu</t>
  </si>
  <si>
    <t xml:space="preserve">Status Anggaran</t>
  </si>
  <si>
    <t xml:space="preserve">Sekretariat HAPIA</t>
  </si>
  <si>
    <t xml:space="preserve">Aula Kampus Jember</t>
  </si>
  <si>
    <t xml:space="preserve">Halaman Sekretariat</t>
  </si>
  <si>
    <t xml:space="preserve">Panti Asuhan Jember</t>
  </si>
  <si>
    <t xml:space="preserve">Gedung Serbaguna</t>
  </si>
  <si>
    <t xml:space="preserve">Lapangan Sekretariat</t>
  </si>
  <si>
    <t xml:space="preserve">Jember</t>
  </si>
  <si>
    <t xml:space="preserve">TOTAL SELURUH EVENT</t>
  </si>
  <si>
    <t xml:space="preserve">Di luar event (operasional / umum)</t>
  </si>
  <si>
    <t xml:space="preserve">TOTAL KESELURUHAN (sama dengan sheet Transaksi)</t>
  </si>
  <si>
    <t xml:space="preserve">Kode</t>
  </si>
  <si>
    <t xml:space="preserve">Nama Aset</t>
  </si>
  <si>
    <t xml:space="preserve">Tgl Perolehan</t>
  </si>
  <si>
    <t xml:space="preserve">Jumlah</t>
  </si>
  <si>
    <t xml:space="preserve">Harga Satuan (Rp)</t>
  </si>
  <si>
    <t xml:space="preserve">Nilai Perolehan (Rp)</t>
  </si>
  <si>
    <t xml:space="preserve">Umur (Thn)</t>
  </si>
  <si>
    <t xml:space="preserve">Penyusutan / Thn</t>
  </si>
  <si>
    <t xml:space="preserve">Akumulasi Penyusutan</t>
  </si>
  <si>
    <t xml:space="preserve">Nilai Buku (Rp)</t>
  </si>
  <si>
    <t xml:space="preserve">Kondisi</t>
  </si>
  <si>
    <t xml:space="preserve">Lokasi / Keterangan</t>
  </si>
  <si>
    <t xml:space="preserve">AST-001</t>
  </si>
  <si>
    <t xml:space="preserve">Laptop Sekretariat</t>
  </si>
  <si>
    <t xml:space="preserve">Elektronik</t>
  </si>
  <si>
    <t xml:space="preserve">Baik</t>
  </si>
  <si>
    <t xml:space="preserve">Sekretariat</t>
  </si>
  <si>
    <t xml:space="preserve">AST-002</t>
  </si>
  <si>
    <t xml:space="preserve">Meja Rapat</t>
  </si>
  <si>
    <t xml:space="preserve">Furnitur</t>
  </si>
  <si>
    <t xml:space="preserve">AST-003</t>
  </si>
  <si>
    <t xml:space="preserve">Lemari Arsip</t>
  </si>
  <si>
    <t xml:space="preserve">AST-004</t>
  </si>
  <si>
    <t xml:space="preserve">Sound System</t>
  </si>
  <si>
    <t xml:space="preserve">Cukup</t>
  </si>
  <si>
    <t xml:space="preserve">Gudang</t>
  </si>
  <si>
    <t xml:space="preserve">AST-005</t>
  </si>
  <si>
    <t xml:space="preserve">Proyektor</t>
  </si>
  <si>
    <t xml:space="preserve">AST-006</t>
  </si>
  <si>
    <t xml:space="preserve">Kursi Plastik</t>
  </si>
  <si>
    <t xml:space="preserve">AST-007</t>
  </si>
  <si>
    <t xml:space="preserve">Banner Organisasi</t>
  </si>
  <si>
    <t xml:space="preserve">Perlengkapan</t>
  </si>
  <si>
    <t xml:space="preserve">TOTAL ASET</t>
  </si>
  <si>
    <t xml:space="preserve">Metode: penyusutan garis lurus tanpa nilai sisa = Nilai Perolehan ÷ Umur ekonomis, dihitung per bulan s.d. Tanggal Laporan. Umur ekonomis adalah asumsi contoh — sesuaikan kebijakan organisasi.</t>
  </si>
  <si>
    <t xml:space="preserve">I. LAPORAN ARUS KAS</t>
  </si>
  <si>
    <t xml:space="preserve">Total (Rp)</t>
  </si>
  <si>
    <t xml:space="preserve">Saldo Awal</t>
  </si>
  <si>
    <t xml:space="preserve">(+) Total Penerimaan</t>
  </si>
  <si>
    <t xml:space="preserve">(−) Total Pengeluaran</t>
  </si>
  <si>
    <t xml:space="preserve">Saldo Akhir</t>
  </si>
  <si>
    <t xml:space="preserve">Pengecekan terhadap Buku Kas / Transaksi</t>
  </si>
  <si>
    <t xml:space="preserve">II. RINCIAN PEMASUKAN</t>
  </si>
  <si>
    <t xml:space="preserve">% dari Total</t>
  </si>
  <si>
    <t xml:space="preserve">III. RINCIAN PENGELUARAN</t>
  </si>
  <si>
    <t xml:space="preserve">IV. HASIL PERIODE</t>
  </si>
  <si>
    <t xml:space="preserve">Nilai Buku Aset (info)</t>
  </si>
  <si>
    <t xml:space="preserve">Hasil Bersih Seluruh Event (info)</t>
  </si>
  <si>
    <t xml:space="preserve">Jember,</t>
  </si>
  <si>
    <t xml:space="preserve">Mengetahui,</t>
  </si>
  <si>
    <t xml:space="preserve">Bendahara,</t>
  </si>
  <si>
    <t xml:space="preserve">PILIH EVENT ▶</t>
  </si>
  <si>
    <t xml:space="preserve">Tanggal Pelaksanaan</t>
  </si>
  <si>
    <t xml:space="preserve">Anggaran Event (Rp)</t>
  </si>
  <si>
    <t xml:space="preserve">I. PEMASUKAN EVENT</t>
  </si>
  <si>
    <t xml:space="preserve">II. PENGELUARAN EVENT</t>
  </si>
  <si>
    <t xml:space="preserve">III. HASIL EVENT</t>
  </si>
  <si>
    <t xml:space="preserve">HASIL BERSIH (SURPLUS / DEFISIT)</t>
  </si>
  <si>
    <t xml:space="preserve">Serapan Anggaran Event</t>
  </si>
  <si>
    <t xml:space="preserve">Jumlah Transaksi Event</t>
  </si>
  <si>
    <t xml:space="preserve">PENGATURAN — isi bagian ini lebih dulu. Sel putih bertulisan biru dapat Anda ubah.</t>
  </si>
  <si>
    <t xml:space="preserve">IDENTITAS &amp; PARAMETER</t>
  </si>
  <si>
    <t xml:space="preserve">Nama Organisasi</t>
  </si>
  <si>
    <t xml:space="preserve">HAPIA Jember</t>
  </si>
  <si>
    <t xml:space="preserve">Tampil di laporan.</t>
  </si>
  <si>
    <t xml:space="preserve">Tahun Buku</t>
  </si>
  <si>
    <t xml:space="preserve">Satu file = satu tahun buku. Buat salinan file untuk tahun berikutnya.</t>
  </si>
  <si>
    <t xml:space="preserve">Alamat / Sekretariat</t>
  </si>
  <si>
    <t xml:space="preserve">Jember, Jawa Timur</t>
  </si>
  <si>
    <t xml:space="preserve">Contoh — ganti dengan alamat sebenarnya.</t>
  </si>
  <si>
    <t xml:space="preserve">Nama Ketua</t>
  </si>
  <si>
    <t xml:space="preserve">Tampil pada kolom tanda tangan laporan.</t>
  </si>
  <si>
    <t xml:space="preserve">Nama Bendahara</t>
  </si>
  <si>
    <t xml:space="preserve">Saldo Awal Kas Tunai (Rp)</t>
  </si>
  <si>
    <t xml:space="preserve">Asumsi contoh — ganti dengan saldo kas per 1 Januari.</t>
  </si>
  <si>
    <t xml:space="preserve">Saldo Awal Rekening Bank (Rp)</t>
  </si>
  <si>
    <t xml:space="preserve">Asumsi contoh — ganti dengan saldo rekening per 1 Januari.</t>
  </si>
  <si>
    <t xml:space="preserve">Nama Sekretaris</t>
  </si>
  <si>
    <t xml:space="preserve">Tampil pada kolom tanda tangan laporan event.</t>
  </si>
  <si>
    <t xml:space="preserve">Nama Bank &amp; No. Rekening</t>
  </si>
  <si>
    <t xml:space="preserve">Bank — 000-000-0000</t>
  </si>
  <si>
    <t xml:space="preserve">Contoh — ganti dengan data rekening organisasi.</t>
  </si>
  <si>
    <t xml:space="preserve">Tanggal Laporan</t>
  </si>
  <si>
    <t xml:space="preserve">Dipakai untuk penyusutan aset &amp; tanggal laporan.</t>
  </si>
  <si>
    <t xml:space="preserve">Batas Waspada Anggaran (%)</t>
  </si>
  <si>
    <t xml:space="preserve">Status 'Waspada' muncul bila serapan anggaran &gt;= angka ini.</t>
  </si>
  <si>
    <t xml:space="preserve">DAFTAR PILIHAN (menjadi dropdown di sheet lain — tambah/ubah langsung di sini)</t>
  </si>
  <si>
    <t xml:space="preserve">Kategori Pemasukan</t>
  </si>
  <si>
    <t xml:space="preserve">Kategori Pengeluaran</t>
  </si>
  <si>
    <t xml:space="preserve">Akun / Rekening</t>
  </si>
  <si>
    <t xml:space="preserve">Jenis Transaksi</t>
  </si>
  <si>
    <t xml:space="preserve">Kondisi Aset</t>
  </si>
  <si>
    <t xml:space="preserve">Januari</t>
  </si>
  <si>
    <t xml:space="preserve">Februari</t>
  </si>
  <si>
    <t xml:space="preserve">Maret</t>
  </si>
  <si>
    <t xml:space="preserve">Rusak</t>
  </si>
  <si>
    <t xml:space="preserve">April</t>
  </si>
  <si>
    <t xml:space="preserve">Mei</t>
  </si>
  <si>
    <t xml:space="preserve">Juni</t>
  </si>
  <si>
    <t xml:space="preserve">Pemasukan Lain-lain</t>
  </si>
  <si>
    <t xml:space="preserve">Juli</t>
  </si>
  <si>
    <t xml:space="preserve">Agustus</t>
  </si>
  <si>
    <t xml:space="preserve">September</t>
  </si>
  <si>
    <t xml:space="preserve">Pengeluaran Lain-lain</t>
  </si>
  <si>
    <t xml:space="preserve">Oktober</t>
  </si>
  <si>
    <t xml:space="preserve">November</t>
  </si>
  <si>
    <t xml:space="preserve">Desember</t>
  </si>
  <si>
    <t xml:space="preserve">Catatan: nama 'Pemasukan' &amp; 'Pengeluaran' (kolom J) serta daftar bulan (kolom H) bersifat tetap. Nama kategori &amp; akun boleh diganti — seluruh rumus ikut menyesuaikan.</t>
  </si>
  <si>
    <t xml:space="preserve">Daftar event dikelola di sheet Event — dropdown kolom Event di sheet Transaksi otomatis mengikutinya.</t>
  </si>
  <si>
    <t xml:space="preserve">PANDUAN SINGKAT PENGGUNAAN</t>
  </si>
  <si>
    <t xml:space="preserve">CARA PAKAI (4 LANGKAH)</t>
  </si>
  <si>
    <t xml:space="preserve">1</t>
  </si>
  <si>
    <t xml:space="preserve">Buka sheet Pengaturan → isi nama pengurus, saldo awal kas &amp; bank, iuran standar, tanggal laporan, serta daftar kategori.</t>
  </si>
  <si>
    <t xml:space="preserve">2</t>
  </si>
  <si>
    <t xml:space="preserve">Catat setiap kejadian keuangan di sheet Transaksi (satu baris = satu transaksi). Pilih Jenis, Kategori &amp; Akun dari dropdown; isi Jumlah dengan angka positif.</t>
  </si>
  <si>
    <t xml:space="preserve">3</t>
  </si>
  <si>
    <t xml:space="preserve">Daftarkan event di sheet Event, lalu pada sheet Transaksi pilih nama event di kolom 'Event' untuk transaksi terkait. Total pemasukan, pengeluaran &amp; hasil bersih tiap event terhitung otomatis; sheet Laporan Event memuat rincian per kategori.</t>
  </si>
  <si>
    <t xml:space="preserve">4</t>
  </si>
  <si>
    <t xml:space="preserve">Lihat hasilnya: Dashboard (ringkasan &amp; grafik), Buku Kas, Rekap Bulanan, Anggaran, Aset, dan Laporan (siap cetak + kolom tanda tangan).</t>
  </si>
  <si>
    <t xml:space="preserve">LEGENDA WARNA</t>
  </si>
  <si>
    <t xml:space="preserve">•</t>
  </si>
  <si>
    <t xml:space="preserve">Sel PUTIH dengan huruf BIRU = tempat Anda mengisi / mengubah data.</t>
  </si>
  <si>
    <t xml:space="preserve">Sel KREM / KUNING MUDA dengan huruf hitam = rumus otomatis, jangan ditimpa.</t>
  </si>
  <si>
    <t xml:space="preserve">Sel KUNING TUA = judul kolom &amp; baris total.</t>
  </si>
  <si>
    <t xml:space="preserve">MENGHAPUS DATA CONTOH SEBELUM DIPAKAI</t>
  </si>
  <si>
    <t xml:space="preserve">Transaksi: pilih C6:I505 dan M6:O505 lalu tekan Delete (jangan hapus kolom B, J, K, L).</t>
  </si>
  <si>
    <t xml:space="preserve">Event: pilih C9:H28 lalu Delete.   Aset: pilih C6:J35 dan N6:O35 lalu Delete (kolom I, K, L, M berisi rumus).</t>
  </si>
  <si>
    <t xml:space="preserve">Anggaran: ubah angka target/anggaran di kolom D sesuai rencana kerja tahun berjalan.   Pengaturan: ganti semua nilai contoh.</t>
  </si>
  <si>
    <t xml:space="preserve">KAPASITAS &amp; ATURAN</t>
  </si>
  <si>
    <t xml:space="preserve">Kapasitas: 500 transaksi, 20 event, 30 aset per file. Perlu lebih? Salin baris rumus terakhir ke bawah (dan perluas rentang SUMIFS).</t>
  </si>
  <si>
    <t xml:space="preserve">Isi Transaksi berurutan tanpa baris kosong agar Dashboard 'Transaksi Terakhir' tepat. Kategori transaksi harus ada di daftar Pengaturan.</t>
  </si>
  <si>
    <t xml:space="preserve">Kategori &amp; akun boleh diganti namanya di Pengaturan; seluruh rumus mengikuti. Satu file untuk satu tahun buku — salin file untuk tahun berikutnya.</t>
  </si>
  <si>
    <t xml:space="preserve">Transfer antar akun (kas ↔ bank): catat sebagai 1 Pengeluaran + 1 Pemasukan dengan kategori 'Pemasukan/Pengeluaran Lain-lain'.</t>
  </si>
  <si>
    <t xml:space="preserve">INTEGRASI</t>
  </si>
  <si>
    <t xml:space="preserve">Sheet Transaksi berbentuk tabel datar (satu baris = satu transaksi, judul kolom di baris 5): mudah di-import ke Power BI, Google Sheets, Access atau aplikasi akuntansi (Simpan sebagai CSV).</t>
  </si>
  <si>
    <t xml:space="preserve">Semua sheet saling terhubung dengan rumus (SUMIFS/INDEX) — tidak memakai makro, sehingga aman dibuka di Excel, LibreOffice, Google Sheets &amp; ponsel.</t>
  </si>
  <si>
    <t xml:space="preserve">Asumsi contoh: saldo awal, daftar event, umur ekonomis aset, dan seluruh data transaksi adalah ilustrasi buatan, bukan data riil.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</si>
</sst>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&quot;Rp &quot;#,##0;[RED]&quot;-Rp &quot;#,##0;&quot;Rp &quot;0"/>
    <numFmt numFmtId="166" formatCode="0&quot; event&quot;"/>
    <numFmt numFmtId="167" formatCode="#,##0&quot; transaksi&quot;"/>
    <numFmt numFmtId="168" formatCode="dd/mm/yyyy"/>
    <numFmt numFmtId="169" formatCode="#,##0;\(#,##0\);\-"/>
    <numFmt numFmtId="170" formatCode="#,##0"/>
    <numFmt numFmtId="171" formatCode="0.0,,&quot;jt&quot;"/>
    <numFmt numFmtId="172" formatCode="0"/>
    <numFmt numFmtId="173" formatCode="0.0%"/>
    <numFmt numFmtId="174" formatCode="#,##0;[RED]\(#,##0\);\-"/>
    <numFmt numFmtId="175" formatCode="dd\ mmmm\ yyyy"/>
    <numFmt numFmtId="176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A1A1A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i val="true"/>
      <sz val="9"/>
      <color rgb="FF8A5522"/>
      <name val="Arial"/>
      <family val="0"/>
      <charset val="1"/>
    </font>
    <font>
      <b val="true"/>
      <sz val="9"/>
      <color rgb="FF8A5522"/>
      <name val="Arial"/>
      <family val="0"/>
      <charset val="1"/>
    </font>
    <font>
      <b val="true"/>
      <sz val="16"/>
      <color rgb="FF1A1A1A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0"/>
      <color rgb="FF8A5522"/>
      <name val="Arial"/>
      <family val="0"/>
      <charset val="1"/>
    </font>
    <font>
      <i val="true"/>
      <sz val="9"/>
      <color rgb="FFC62828"/>
      <name val="Arial"/>
      <family val="0"/>
      <charset val="1"/>
    </font>
    <font>
      <i val="true"/>
      <sz val="9"/>
      <color rgb="FF8A5522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9"/>
      <color rgb="FF8A552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8A5522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5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E6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DE3"/>
      </patternFill>
    </fill>
    <fill>
      <patternFill patternType="solid">
        <fgColor rgb="FFFFF200"/>
        <bgColor rgb="FFFFFF00"/>
      </patternFill>
    </fill>
    <fill>
      <patternFill patternType="solid">
        <fgColor rgb="FFE60000"/>
        <bgColor rgb="FFB71C1C"/>
      </patternFill>
    </fill>
    <fill>
      <patternFill patternType="solid">
        <fgColor rgb="FF1A1A1A"/>
        <bgColor rgb="FF003300"/>
      </patternFill>
    </fill>
    <fill>
      <patternFill patternType="solid">
        <fgColor rgb="FFFFFDE3"/>
        <bgColor rgb="FFFFFFFF"/>
      </patternFill>
    </fill>
    <fill>
      <patternFill patternType="solid">
        <fgColor rgb="FFC8E6C9"/>
        <bgColor rgb="FFD9D9D9"/>
      </patternFill>
    </fill>
    <fill>
      <patternFill patternType="solid">
        <fgColor rgb="FFFFE082"/>
        <bgColor rgb="FFFFF9A6"/>
      </patternFill>
    </fill>
    <fill>
      <patternFill patternType="solid">
        <fgColor rgb="FFFFCDD2"/>
        <bgColor rgb="FFD9D9D9"/>
      </patternFill>
    </fill>
    <fill>
      <patternFill patternType="solid">
        <fgColor rgb="FFFFF9A6"/>
        <bgColor rgb="FFFFFDE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>
        <color rgb="FFE60000"/>
      </left>
      <right style="thin">
        <color rgb="FFD4C640"/>
      </right>
      <top style="thin">
        <color rgb="FFD4C640"/>
      </top>
      <bottom/>
      <diagonal/>
    </border>
    <border diagonalUp="false" diagonalDown="false">
      <left style="thick">
        <color rgb="FFE60000"/>
      </left>
      <right style="thin">
        <color rgb="FFD4C640"/>
      </right>
      <top/>
      <bottom style="thin">
        <color rgb="FFD4C640"/>
      </bottom>
      <diagonal/>
    </border>
    <border diagonalUp="false" diagonalDown="false">
      <left style="thin">
        <color rgb="FFD4C640"/>
      </left>
      <right style="thin">
        <color rgb="FFD4C640"/>
      </right>
      <top style="thin">
        <color rgb="FFD4C640"/>
      </top>
      <bottom style="thin">
        <color rgb="FFD4C640"/>
      </bottom>
      <diagonal/>
    </border>
    <border diagonalUp="false" diagonalDown="false">
      <left style="thin">
        <color rgb="FFD4C640"/>
      </left>
      <right style="thin">
        <color rgb="FFD4C640"/>
      </right>
      <top style="medium">
        <color rgb="FF1A1A1A"/>
      </top>
      <bottom style="medium">
        <color rgb="FF1A1A1A"/>
      </bottom>
      <diagonal/>
    </border>
    <border diagonalUp="false" diagonalDown="false">
      <left/>
      <right/>
      <top/>
      <bottom style="thin">
        <color rgb="FF1A1A1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13" fillId="1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3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4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2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4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3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3" fontId="13" fillId="3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13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2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2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28" fillId="1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28" fillId="1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4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9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3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30" fillId="5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24" fillId="6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3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5" fontId="23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23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8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C62828"/>
        <sz val="16"/>
      </font>
    </dxf>
    <dxf>
      <font>
        <name val="Arial"/>
        <charset val="1"/>
        <family val="0"/>
        <b val="1"/>
        <color rgb="FF2E7D32"/>
        <sz val="16"/>
      </font>
    </dxf>
    <dxf>
      <font>
        <name val="Arial"/>
        <charset val="1"/>
        <family val="0"/>
        <b val="1"/>
        <color rgb="FF2E7D32"/>
      </font>
    </dxf>
    <dxf>
      <font>
        <name val="Arial"/>
        <charset val="1"/>
        <family val="0"/>
        <b val="1"/>
        <color rgb="FFC62828"/>
      </font>
    </dxf>
    <dxf>
      <fill>
        <patternFill patternType="solid">
          <fgColor rgb="FFE60000"/>
          <bgColor rgb="FF000000"/>
        </patternFill>
      </fill>
    </dxf>
    <dxf>
      <fill>
        <patternFill patternType="solid">
          <fgColor rgb="FFFFFDE3"/>
          <bgColor rgb="FF000000"/>
        </patternFill>
      </fill>
    </dxf>
    <dxf>
      <fill>
        <patternFill patternType="solid">
          <fgColor rgb="FF8A55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ont>
        <name val="Arial"/>
        <charset val="1"/>
        <family val="0"/>
        <b val="1"/>
        <color rgb="FF1B5E20"/>
      </font>
      <fill>
        <patternFill>
          <bgColor rgb="FFC8E6C9"/>
        </patternFill>
      </fill>
    </dxf>
    <dxf>
      <font>
        <name val="Arial"/>
        <charset val="1"/>
        <family val="0"/>
        <b val="1"/>
        <color rgb="FFE65100"/>
      </font>
      <fill>
        <patternFill>
          <bgColor rgb="FFFFE082"/>
        </patternFill>
      </fill>
    </dxf>
    <dxf>
      <font>
        <name val="Arial"/>
        <charset val="1"/>
        <family val="0"/>
        <b val="1"/>
        <color rgb="FFB71C1C"/>
      </font>
      <fill>
        <patternFill>
          <bgColor rgb="FFFFCDD2"/>
        </patternFill>
      </fill>
    </dxf>
    <dxf>
      <font>
        <name val="Arial"/>
        <charset val="1"/>
        <family val="0"/>
        <b val="1"/>
        <color rgb="FF0D47A1"/>
      </font>
      <fill>
        <patternFill>
          <bgColor rgb="FFBBDEFB"/>
        </patternFill>
      </fill>
    </dxf>
    <dxf>
      <font>
        <name val="Arial"/>
        <charset val="1"/>
        <family val="0"/>
        <b val="1"/>
        <color rgb="FFFF8A80"/>
      </font>
    </dxf>
  </dxfs>
  <colors>
    <indexedColors>
      <rgbColor rgb="FF000000"/>
      <rgbColor rgb="FFFFFFFF"/>
      <rgbColor rgb="FFE60000"/>
      <rgbColor rgb="FF00FF00"/>
      <rgbColor rgb="FF0000FF"/>
      <rgbColor rgb="FFFFF200"/>
      <rgbColor rgb="FFFF00FF"/>
      <rgbColor rgb="FF00FFFF"/>
      <rgbColor rgb="FF800000"/>
      <rgbColor rgb="FF006B26"/>
      <rgbColor rgb="FF000080"/>
      <rgbColor rgb="FF8A5522"/>
      <rgbColor rgb="FF800080"/>
      <rgbColor rgb="FF008080"/>
      <rgbColor rgb="FFD9D9D9"/>
      <rgbColor rgb="FF878787"/>
      <rgbColor rgb="FF9999FF"/>
      <rgbColor rgb="FFC62828"/>
      <rgbColor rgb="FFFFFDE3"/>
      <rgbColor rgb="FFCCFFFF"/>
      <rgbColor rgb="FF660066"/>
      <rgbColor rgb="FFFF8A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9A6"/>
      <rgbColor rgb="FF99CCFF"/>
      <rgbColor rgb="FFFFCDD2"/>
      <rgbColor rgb="FFCC99FF"/>
      <rgbColor rgb="FFFFE082"/>
      <rgbColor rgb="FF3366FF"/>
      <rgbColor rgb="FF33CCCC"/>
      <rgbColor rgb="FF99CC00"/>
      <rgbColor rgb="FFD4C640"/>
      <rgbColor rgb="FFFF9900"/>
      <rgbColor rgb="FFE65100"/>
      <rgbColor rgb="FF666699"/>
      <rgbColor rgb="FF969696"/>
      <rgbColor rgb="FF0D47A1"/>
      <rgbColor rgb="FF2E7D32"/>
      <rgbColor rgb="FF003300"/>
      <rgbColor rgb="FF1B5E20"/>
      <rgbColor rgb="FFB71C1C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'Rekap Bulanan'!E5</c:f>
              <c:strCache>
                <c:ptCount val="1"/>
                <c:pt idx="0">
                  <c:v>Pemasukan (Rp)</c:v>
                </c:pt>
              </c:strCache>
            </c:strRef>
          </c:tx>
          <c:spPr>
            <a:solidFill>
              <a:srgbClr val="fff200"/>
            </a:solidFill>
            <a:ln w="0">
              <a:solidFill>
                <a:srgbClr val="1a1a1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'Rekap Bulanan'!$C$6:$C$17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'Rekap Bulanan'!$E$6:$E$17</c:f>
              <c:numCache>
                <c:formatCode>#,##0;\(#,##0\);\-</c:formatCode>
                <c:ptCount val="12"/>
                <c:pt idx="0">
                  <c:v>2000000</c:v>
                </c:pt>
                <c:pt idx="1">
                  <c:v>8500000</c:v>
                </c:pt>
                <c:pt idx="2">
                  <c:v>3245000</c:v>
                </c:pt>
                <c:pt idx="3">
                  <c:v>0</c:v>
                </c:pt>
                <c:pt idx="4">
                  <c:v>0</c:v>
                </c:pt>
                <c:pt idx="5">
                  <c:v>5548000</c:v>
                </c:pt>
                <c:pt idx="6">
                  <c:v>0</c:v>
                </c:pt>
                <c:pt idx="7">
                  <c:v>1500000</c:v>
                </c:pt>
                <c:pt idx="8">
                  <c:v>50000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'Rekap Bulanan'!F5</c:f>
              <c:strCache>
                <c:ptCount val="1"/>
                <c:pt idx="0">
                  <c:v>Pengeluaran (Rp)</c:v>
                </c:pt>
              </c:strCache>
            </c:strRef>
          </c:tx>
          <c:spPr>
            <a:solidFill>
              <a:srgbClr val="e60000"/>
            </a:solidFill>
            <a:ln w="0">
              <a:solidFill>
                <a:srgbClr val="1a1a1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'Rekap Bulanan'!$C$6:$C$17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'Rekap Bulanan'!$F$6:$F$17</c:f>
              <c:numCache>
                <c:formatCode>#,##0;\(#,##0\);\-</c:formatCode>
                <c:ptCount val="12"/>
                <c:pt idx="0">
                  <c:v>2565000</c:v>
                </c:pt>
                <c:pt idx="1">
                  <c:v>6515000</c:v>
                </c:pt>
                <c:pt idx="2">
                  <c:v>1215000</c:v>
                </c:pt>
                <c:pt idx="3">
                  <c:v>3515000</c:v>
                </c:pt>
                <c:pt idx="4">
                  <c:v>365000</c:v>
                </c:pt>
                <c:pt idx="5">
                  <c:v>8315000</c:v>
                </c:pt>
                <c:pt idx="6">
                  <c:v>1515000</c:v>
                </c:pt>
                <c:pt idx="7">
                  <c:v>1315000</c:v>
                </c:pt>
                <c:pt idx="8">
                  <c:v>2765000</c:v>
                </c:pt>
                <c:pt idx="9">
                  <c:v>2445000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14883539"/>
        <c:axId val="80302079"/>
      </c:barChart>
      <c:catAx>
        <c:axId val="148835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302079"/>
        <c:crosses val="autoZero"/>
        <c:auto val="1"/>
        <c:lblAlgn val="ctr"/>
        <c:lblOffset val="100"/>
        <c:noMultiLvlLbl val="0"/>
      </c:catAx>
      <c:valAx>
        <c:axId val="80302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8353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0"/>
    <c:plotArea>
      <c:lineChart>
        <c:grouping val="standard"/>
        <c:varyColors val="0"/>
        <c:ser>
          <c:idx val="0"/>
          <c:order val="0"/>
          <c:tx>
            <c:strRef>
              <c:f>'Rekap Bulanan'!H5</c:f>
              <c:strCache>
                <c:ptCount val="1"/>
                <c:pt idx="0">
                  <c:v>Saldo Akhir (Rp)</c:v>
                </c:pt>
              </c:strCache>
            </c:strRef>
          </c:tx>
          <c:spPr>
            <a:solidFill>
              <a:srgbClr val="006b26"/>
            </a:solidFill>
            <a:ln w="33840">
              <a:solidFill>
                <a:srgbClr val="006b26"/>
              </a:solidFill>
              <a:round/>
            </a:ln>
          </c:spPr>
          <c:marker>
            <c:symbol val="circle"/>
            <c:size val="7"/>
            <c:spPr>
              <a:solidFill>
                <a:srgbClr val="006b2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'Rekap Bulanan'!$C$6:$C$17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'Rekap Bulanan'!$H$6:$H$17</c:f>
              <c:numCache>
                <c:formatCode>#,##0;\(#,##0\);\-</c:formatCode>
                <c:ptCount val="12"/>
                <c:pt idx="0">
                  <c:v>29435000</c:v>
                </c:pt>
                <c:pt idx="1">
                  <c:v>31420000</c:v>
                </c:pt>
                <c:pt idx="2">
                  <c:v>33450000</c:v>
                </c:pt>
                <c:pt idx="3">
                  <c:v>29935000</c:v>
                </c:pt>
                <c:pt idx="4">
                  <c:v>29570000</c:v>
                </c:pt>
                <c:pt idx="5">
                  <c:v>26803000</c:v>
                </c:pt>
                <c:pt idx="6">
                  <c:v>25288000</c:v>
                </c:pt>
                <c:pt idx="7">
                  <c:v>25473000</c:v>
                </c:pt>
                <c:pt idx="8">
                  <c:v>22758000</c:v>
                </c:pt>
                <c:pt idx="9">
                  <c:v>20313000</c:v>
                </c:pt>
                <c:pt idx="10">
                  <c:v>20313000</c:v>
                </c:pt>
                <c:pt idx="11">
                  <c:v>20313000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336390"/>
        <c:axId val="30264401"/>
      </c:lineChart>
      <c:catAx>
        <c:axId val="383363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64401"/>
        <c:crosses val="autoZero"/>
        <c:auto val="1"/>
        <c:lblAlgn val="ctr"/>
        <c:lblOffset val="100"/>
        <c:noMultiLvlLbl val="0"/>
      </c:catAx>
      <c:valAx>
        <c:axId val="30264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3363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Anggaran!D18</c:f>
              <c:strCache>
                <c:ptCount val="1"/>
                <c:pt idx="0">
                  <c:v>Anggaran Tahunan (Rp)</c:v>
                </c:pt>
              </c:strCache>
            </c:strRef>
          </c:tx>
          <c:spPr>
            <a:solidFill>
              <a:srgbClr val="fff200"/>
            </a:solidFill>
            <a:ln w="0">
              <a:solidFill>
                <a:srgbClr val="1a1a1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Anggaran!$C$19:$C$30</c:f>
              <c:strCache>
                <c:ptCount val="12"/>
                <c:pt idx="0">
                  <c:v>Kegiatan / Program</c:v>
                </c:pt>
                <c:pt idx="1">
                  <c:v>Konsumsi</c:v>
                </c:pt>
                <c:pt idx="2">
                  <c:v>Transportasi</c:v>
                </c:pt>
                <c:pt idx="3">
                  <c:v>ATK &amp; Percetakan</c:v>
                </c:pt>
                <c:pt idx="4">
                  <c:v>Sewa &amp; Utilitas</c:v>
                </c:pt>
                <c:pt idx="5">
                  <c:v>Honor / Insentif</c:v>
                </c:pt>
                <c:pt idx="6">
                  <c:v>Sosial / Santunan</c:v>
                </c:pt>
                <c:pt idx="7">
                  <c:v>Perlengkapan / Aset</c:v>
                </c:pt>
                <c:pt idx="8">
                  <c:v>Administrasi Bank</c:v>
                </c:pt>
                <c:pt idx="9">
                  <c:v>Pengeluaran Lain-lain</c:v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Anggaran!$D$19:$D$30</c:f>
              <c:numCache>
                <c:formatCode>#,##0;\(#,##0\);\-</c:formatCode>
                <c:ptCount val="12"/>
                <c:pt idx="0">
                  <c:v>15000000</c:v>
                </c:pt>
                <c:pt idx="1">
                  <c:v>3000000</c:v>
                </c:pt>
                <c:pt idx="2">
                  <c:v>1000000</c:v>
                </c:pt>
                <c:pt idx="3">
                  <c:v>700000</c:v>
                </c:pt>
                <c:pt idx="4">
                  <c:v>6000000</c:v>
                </c:pt>
                <c:pt idx="5">
                  <c:v>1500000</c:v>
                </c:pt>
                <c:pt idx="6">
                  <c:v>2500000</c:v>
                </c:pt>
                <c:pt idx="7">
                  <c:v>7000000</c:v>
                </c:pt>
                <c:pt idx="8">
                  <c:v>200000</c:v>
                </c:pt>
                <c:pt idx="9">
                  <c:v>500000</c:v>
                </c:pt>
              </c:numCache>
            </c:numRef>
          </c:val>
        </c:ser>
        <c:ser>
          <c:idx val="1"/>
          <c:order val="1"/>
          <c:tx>
            <c:strRef>
              <c:f>Anggaran!E18</c:f>
              <c:strCache>
                <c:ptCount val="1"/>
                <c:pt idx="0">
                  <c:v>Realisasi (Rp)</c:v>
                </c:pt>
              </c:strCache>
            </c:strRef>
          </c:tx>
          <c:spPr>
            <a:solidFill>
              <a:srgbClr val="e60000"/>
            </a:solidFill>
            <a:ln w="0">
              <a:solidFill>
                <a:srgbClr val="1a1a1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Anggaran!$C$19:$C$30</c:f>
              <c:strCache>
                <c:ptCount val="12"/>
                <c:pt idx="0">
                  <c:v>Kegiatan / Program</c:v>
                </c:pt>
                <c:pt idx="1">
                  <c:v>Konsumsi</c:v>
                </c:pt>
                <c:pt idx="2">
                  <c:v>Transportasi</c:v>
                </c:pt>
                <c:pt idx="3">
                  <c:v>ATK &amp; Percetakan</c:v>
                </c:pt>
                <c:pt idx="4">
                  <c:v>Sewa &amp; Utilitas</c:v>
                </c:pt>
                <c:pt idx="5">
                  <c:v>Honor / Insentif</c:v>
                </c:pt>
                <c:pt idx="6">
                  <c:v>Sosial / Santunan</c:v>
                </c:pt>
                <c:pt idx="7">
                  <c:v>Perlengkapan / Aset</c:v>
                </c:pt>
                <c:pt idx="8">
                  <c:v>Administrasi Bank</c:v>
                </c:pt>
                <c:pt idx="9">
                  <c:v>Pengeluaran Lain-lain</c:v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Anggaran!$E$19:$E$30</c:f>
              <c:numCache>
                <c:formatCode>#,##0;\(#,##0\);\-</c:formatCode>
                <c:ptCount val="12"/>
                <c:pt idx="0">
                  <c:v>10600000</c:v>
                </c:pt>
                <c:pt idx="1">
                  <c:v>2300000</c:v>
                </c:pt>
                <c:pt idx="2">
                  <c:v>600000</c:v>
                </c:pt>
                <c:pt idx="3">
                  <c:v>630000</c:v>
                </c:pt>
                <c:pt idx="4">
                  <c:v>6000000</c:v>
                </c:pt>
                <c:pt idx="5">
                  <c:v>1000000</c:v>
                </c:pt>
                <c:pt idx="6">
                  <c:v>3000000</c:v>
                </c:pt>
                <c:pt idx="7">
                  <c:v>6250000</c:v>
                </c:pt>
                <c:pt idx="8">
                  <c:v>150000</c:v>
                </c:pt>
                <c:pt idx="9">
                  <c:v>0</c:v>
                </c:pt>
              </c:numCache>
            </c:numRef>
          </c:val>
        </c:ser>
        <c:gapWidth val="50"/>
        <c:overlap val="0"/>
        <c:axId val="71887543"/>
        <c:axId val="66891351"/>
      </c:barChart>
      <c:catAx>
        <c:axId val="7188754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91351"/>
        <c:crosses val="autoZero"/>
        <c:auto val="1"/>
        <c:lblAlgn val="ctr"/>
        <c:lblOffset val="100"/>
        <c:noMultiLvlLbl val="0"/>
      </c:catAx>
      <c:valAx>
        <c:axId val="66891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,,&quot;jt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8754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Event!I8</c:f>
              <c:strCache>
                <c:ptCount val="1"/>
                <c:pt idx="0">
                  <c:v>Pemasukan (Rp)</c:v>
                </c:pt>
              </c:strCache>
            </c:strRef>
          </c:tx>
          <c:spPr>
            <a:solidFill>
              <a:srgbClr val="fff200"/>
            </a:solidFill>
            <a:ln w="0">
              <a:solidFill>
                <a:srgbClr val="1a1a1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Event!$C$9:$C$20</c:f>
              <c:strCache>
                <c:ptCount val="12"/>
                <c:pt idx="0">
                  <c:v>Rapat Kerja Awal Tahun</c:v>
                </c:pt>
                <c:pt idx="1">
                  <c:v>Seminar Nasional Pendidikan</c:v>
                </c:pt>
                <c:pt idx="2">
                  <c:v>Bazar &amp; Buka Puasa Bersama</c:v>
                </c:pt>
                <c:pt idx="3">
                  <c:v>Santunan Anak Yatim</c:v>
                </c:pt>
                <c:pt idx="4">
                  <c:v>Pelatihan Peningkatan Kapasitas</c:v>
                </c:pt>
                <c:pt idx="5">
                  <c:v>Perayaan HUT RI</c:v>
                </c:pt>
                <c:pt idx="6">
                  <c:v>Rapat Evaluasi Triwulan III</c:v>
                </c:pt>
                <c:pt idx="7">
                  <c:v>Seminar Akhir Tahun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Event!$I$9:$I$20</c:f>
              <c:numCache>
                <c:formatCode>#,##0;\(#,##0\);\-</c:formatCode>
                <c:ptCount val="12"/>
                <c:pt idx="0">
                  <c:v>0</c:v>
                </c:pt>
                <c:pt idx="1">
                  <c:v>10500000</c:v>
                </c:pt>
                <c:pt idx="2">
                  <c:v>3200000</c:v>
                </c:pt>
                <c:pt idx="3">
                  <c:v>0</c:v>
                </c:pt>
                <c:pt idx="4">
                  <c:v>5500000</c:v>
                </c:pt>
                <c:pt idx="5">
                  <c:v>1500000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Event!J8</c:f>
              <c:strCache>
                <c:ptCount val="1"/>
                <c:pt idx="0">
                  <c:v>Pengeluaran (Rp)</c:v>
                </c:pt>
              </c:strCache>
            </c:strRef>
          </c:tx>
          <c:spPr>
            <a:solidFill>
              <a:srgbClr val="e60000"/>
            </a:solidFill>
            <a:ln w="0">
              <a:solidFill>
                <a:srgbClr val="1a1a1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Event!$C$9:$C$20</c:f>
              <c:strCache>
                <c:ptCount val="12"/>
                <c:pt idx="0">
                  <c:v>Rapat Kerja Awal Tahun</c:v>
                </c:pt>
                <c:pt idx="1">
                  <c:v>Seminar Nasional Pendidikan</c:v>
                </c:pt>
                <c:pt idx="2">
                  <c:v>Bazar &amp; Buka Puasa Bersama</c:v>
                </c:pt>
                <c:pt idx="3">
                  <c:v>Santunan Anak Yatim</c:v>
                </c:pt>
                <c:pt idx="4">
                  <c:v>Pelatihan Peningkatan Kapasitas</c:v>
                </c:pt>
                <c:pt idx="5">
                  <c:v>Perayaan HUT RI</c:v>
                </c:pt>
                <c:pt idx="6">
                  <c:v>Rapat Evaluasi Triwulan III</c:v>
                </c:pt>
                <c:pt idx="7">
                  <c:v>Seminar Akhir Tahun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Event!$J$9:$J$20</c:f>
              <c:numCache>
                <c:formatCode>#,##0;\(#,##0\);\-</c:formatCode>
                <c:ptCount val="12"/>
                <c:pt idx="0">
                  <c:v>600000</c:v>
                </c:pt>
                <c:pt idx="1">
                  <c:v>6500000</c:v>
                </c:pt>
                <c:pt idx="2">
                  <c:v>1200000</c:v>
                </c:pt>
                <c:pt idx="3">
                  <c:v>2000000</c:v>
                </c:pt>
                <c:pt idx="4">
                  <c:v>3800000</c:v>
                </c:pt>
                <c:pt idx="5">
                  <c:v>1300000</c:v>
                </c:pt>
                <c:pt idx="6">
                  <c:v>500000</c:v>
                </c:pt>
                <c:pt idx="7">
                  <c:v>250000</c:v>
                </c:pt>
              </c:numCache>
            </c:numRef>
          </c:val>
        </c:ser>
        <c:gapWidth val="60"/>
        <c:overlap val="0"/>
        <c:axId val="37361059"/>
        <c:axId val="88381565"/>
      </c:barChart>
      <c:catAx>
        <c:axId val="373610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81565"/>
        <c:crosses val="autoZero"/>
        <c:auto val="1"/>
        <c:lblAlgn val="ctr"/>
        <c:lblOffset val="100"/>
        <c:noMultiLvlLbl val="0"/>
      </c:catAx>
      <c:valAx>
        <c:axId val="883815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,,&quot;jt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3610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Pemasukan vs Pengeluaran per Bulan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'Rekap Bulanan'!E5</c:f>
              <c:strCache>
                <c:ptCount val="1"/>
                <c:pt idx="0">
                  <c:v>Pemasukan (Rp)</c:v>
                </c:pt>
              </c:strCache>
            </c:strRef>
          </c:tx>
          <c:spPr>
            <a:solidFill>
              <a:srgbClr val="fff200"/>
            </a:solidFill>
            <a:ln w="0">
              <a:solidFill>
                <a:srgbClr val="1a1a1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'Rekap Bulanan'!$C$6:$C$17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'Rekap Bulanan'!$E$6:$E$17</c:f>
              <c:numCache>
                <c:formatCode>#,##0;\(#,##0\);\-</c:formatCode>
                <c:ptCount val="12"/>
                <c:pt idx="0">
                  <c:v>2000000</c:v>
                </c:pt>
                <c:pt idx="1">
                  <c:v>8500000</c:v>
                </c:pt>
                <c:pt idx="2">
                  <c:v>3245000</c:v>
                </c:pt>
                <c:pt idx="3">
                  <c:v>0</c:v>
                </c:pt>
                <c:pt idx="4">
                  <c:v>0</c:v>
                </c:pt>
                <c:pt idx="5">
                  <c:v>5548000</c:v>
                </c:pt>
                <c:pt idx="6">
                  <c:v>0</c:v>
                </c:pt>
                <c:pt idx="7">
                  <c:v>1500000</c:v>
                </c:pt>
                <c:pt idx="8">
                  <c:v>50000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'Rekap Bulanan'!F5</c:f>
              <c:strCache>
                <c:ptCount val="1"/>
                <c:pt idx="0">
                  <c:v>Pengeluaran (Rp)</c:v>
                </c:pt>
              </c:strCache>
            </c:strRef>
          </c:tx>
          <c:spPr>
            <a:solidFill>
              <a:srgbClr val="e60000"/>
            </a:solidFill>
            <a:ln w="0">
              <a:solidFill>
                <a:srgbClr val="1a1a1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'Rekap Bulanan'!$C$6:$C$17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'Rekap Bulanan'!$F$6:$F$17</c:f>
              <c:numCache>
                <c:formatCode>#,##0;\(#,##0\);\-</c:formatCode>
                <c:ptCount val="12"/>
                <c:pt idx="0">
                  <c:v>2565000</c:v>
                </c:pt>
                <c:pt idx="1">
                  <c:v>6515000</c:v>
                </c:pt>
                <c:pt idx="2">
                  <c:v>1215000</c:v>
                </c:pt>
                <c:pt idx="3">
                  <c:v>3515000</c:v>
                </c:pt>
                <c:pt idx="4">
                  <c:v>365000</c:v>
                </c:pt>
                <c:pt idx="5">
                  <c:v>8315000</c:v>
                </c:pt>
                <c:pt idx="6">
                  <c:v>1515000</c:v>
                </c:pt>
                <c:pt idx="7">
                  <c:v>1315000</c:v>
                </c:pt>
                <c:pt idx="8">
                  <c:v>2765000</c:v>
                </c:pt>
                <c:pt idx="9">
                  <c:v>2445000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67239591"/>
        <c:axId val="91406083"/>
      </c:barChart>
      <c:catAx>
        <c:axId val="6723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06083"/>
        <c:crosses val="autoZero"/>
        <c:auto val="1"/>
        <c:lblAlgn val="ctr"/>
        <c:lblOffset val="100"/>
        <c:noMultiLvlLbl val="0"/>
      </c:catAx>
      <c:valAx>
        <c:axId val="91406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395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Perkembangan Saldo Akhir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'Rekap Bulanan'!H5</c:f>
              <c:strCache>
                <c:ptCount val="1"/>
                <c:pt idx="0">
                  <c:v>Saldo Akhir (Rp)</c:v>
                </c:pt>
              </c:strCache>
            </c:strRef>
          </c:tx>
          <c:spPr>
            <a:solidFill>
              <a:srgbClr val="006b26"/>
            </a:solidFill>
            <a:ln w="33840">
              <a:solidFill>
                <a:srgbClr val="006b26"/>
              </a:solidFill>
              <a:round/>
            </a:ln>
          </c:spPr>
          <c:marker>
            <c:symbol val="circle"/>
            <c:size val="7"/>
            <c:spPr>
              <a:solidFill>
                <a:srgbClr val="006b2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'Rekap Bulanan'!$C$6:$C$17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'Rekap Bulanan'!$H$6:$H$17</c:f>
              <c:numCache>
                <c:formatCode>#,##0;\(#,##0\);\-</c:formatCode>
                <c:ptCount val="12"/>
                <c:pt idx="0">
                  <c:v>29435000</c:v>
                </c:pt>
                <c:pt idx="1">
                  <c:v>31420000</c:v>
                </c:pt>
                <c:pt idx="2">
                  <c:v>33450000</c:v>
                </c:pt>
                <c:pt idx="3">
                  <c:v>29935000</c:v>
                </c:pt>
                <c:pt idx="4">
                  <c:v>29570000</c:v>
                </c:pt>
                <c:pt idx="5">
                  <c:v>26803000</c:v>
                </c:pt>
                <c:pt idx="6">
                  <c:v>25288000</c:v>
                </c:pt>
                <c:pt idx="7">
                  <c:v>25473000</c:v>
                </c:pt>
                <c:pt idx="8">
                  <c:v>22758000</c:v>
                </c:pt>
                <c:pt idx="9">
                  <c:v>20313000</c:v>
                </c:pt>
                <c:pt idx="10">
                  <c:v>20313000</c:v>
                </c:pt>
                <c:pt idx="11">
                  <c:v>20313000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6706381"/>
        <c:axId val="29334382"/>
      </c:lineChart>
      <c:catAx>
        <c:axId val="267063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34382"/>
        <c:crosses val="autoZero"/>
        <c:auto val="1"/>
        <c:lblAlgn val="ctr"/>
        <c:lblOffset val="100"/>
        <c:noMultiLvlLbl val="0"/>
      </c:catAx>
      <c:valAx>
        <c:axId val="29334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063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6</xdr:col>
      <xdr:colOff>897480</xdr:colOff>
      <xdr:row>28</xdr:row>
      <xdr:rowOff>68400</xdr:rowOff>
    </xdr:to>
    <xdr:graphicFrame>
      <xdr:nvGraphicFramePr>
        <xdr:cNvPr id="0" name="Chart 1"/>
        <xdr:cNvGraphicFramePr/>
      </xdr:nvGraphicFramePr>
      <xdr:xfrm>
        <a:off x="916200" y="310500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12</xdr:col>
      <xdr:colOff>897840</xdr:colOff>
      <xdr:row>28</xdr:row>
      <xdr:rowOff>68400</xdr:rowOff>
    </xdr:to>
    <xdr:graphicFrame>
      <xdr:nvGraphicFramePr>
        <xdr:cNvPr id="1" name="Chart 2"/>
        <xdr:cNvGraphicFramePr/>
      </xdr:nvGraphicFramePr>
      <xdr:xfrm>
        <a:off x="6837120" y="3105000"/>
        <a:ext cx="583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897480</xdr:colOff>
      <xdr:row>43</xdr:row>
      <xdr:rowOff>149400</xdr:rowOff>
    </xdr:to>
    <xdr:graphicFrame>
      <xdr:nvGraphicFramePr>
        <xdr:cNvPr id="2" name="Chart 3"/>
        <xdr:cNvGraphicFramePr/>
      </xdr:nvGraphicFramePr>
      <xdr:xfrm>
        <a:off x="916200" y="6153120"/>
        <a:ext cx="5831640" cy="331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13</xdr:col>
      <xdr:colOff>110160</xdr:colOff>
      <xdr:row>65</xdr:row>
      <xdr:rowOff>93960</xdr:rowOff>
    </xdr:to>
    <xdr:graphicFrame>
      <xdr:nvGraphicFramePr>
        <xdr:cNvPr id="3" name="Chart 4"/>
        <xdr:cNvGraphicFramePr/>
      </xdr:nvGraphicFramePr>
      <xdr:xfrm>
        <a:off x="916200" y="10648800"/>
        <a:ext cx="11951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6</xdr:col>
      <xdr:colOff>762840</xdr:colOff>
      <xdr:row>35</xdr:row>
      <xdr:rowOff>32760</xdr:rowOff>
    </xdr:to>
    <xdr:graphicFrame>
      <xdr:nvGraphicFramePr>
        <xdr:cNvPr id="7" name="Chart 1"/>
        <xdr:cNvGraphicFramePr/>
      </xdr:nvGraphicFramePr>
      <xdr:xfrm>
        <a:off x="916200" y="432432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762840</xdr:colOff>
      <xdr:row>51</xdr:row>
      <xdr:rowOff>32760</xdr:rowOff>
    </xdr:to>
    <xdr:graphicFrame>
      <xdr:nvGraphicFramePr>
        <xdr:cNvPr id="8" name="Chart 2"/>
        <xdr:cNvGraphicFramePr/>
      </xdr:nvGraphicFramePr>
      <xdr:xfrm>
        <a:off x="916200" y="737244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9" name="Image 3" descr="Picture"/>
        <xdr:cNvPicPr/>
      </xdr:nvPicPr>
      <xdr:blipFill>
        <a:blip r:embed="rId3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837720</xdr:colOff>
      <xdr:row>1</xdr:row>
      <xdr:rowOff>209160</xdr:rowOff>
    </xdr:to>
    <xdr:pic>
      <xdr:nvPicPr>
        <xdr:cNvPr id="16" name="Image 1" descr="Picture"/>
        <xdr:cNvPicPr/>
      </xdr:nvPicPr>
      <xdr:blipFill>
        <a:blip r:embed="rId1"/>
        <a:stretch/>
      </xdr:blipFill>
      <xdr:spPr>
        <a:xfrm>
          <a:off x="0" y="0"/>
          <a:ext cx="83772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00"/>
    <pageSetUpPr fitToPage="true"/>
  </sheetPr>
  <dimension ref="A1:M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3" min="2" style="0" width="14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9.5" hidden="false" customHeight="true" outlineLevel="0" collapsed="false">
      <c r="A2" s="1"/>
      <c r="B2" s="3" t="str">
        <f aca="false">"Tahun Buku "&amp;Pengaturan!$C$6&amp;"  •  "&amp;Pengaturan!$C$5&amp;"  •  Dikelola oleh Bendahara: "&amp;Pengaturan!$C$9</f>
        <v>Tahun Buku 2026  •  HAPIA Jember  •  Dikelola oleh Bendahara: Nama Bendahara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19.5" hidden="false" customHeight="true" outlineLevel="0" collapsed="false">
      <c r="B4" s="5" t="str">
        <f aca="false">"Posisi per "&amp;INDEX(Pengaturan!$H$19:$H$30,MONTH(Pengaturan!$C$14))&amp;" "&amp;YEAR(Pengaturan!$C$14)&amp;"  •  Ringkasan otomatis dari seluruh sheet"</f>
        <v>Posisi per Oktober 2026  •  Ringkasan otomatis dari seluruh sheet</v>
      </c>
    </row>
    <row r="6" customFormat="false" ht="19.5" hidden="false" customHeight="true" outlineLevel="0" collapsed="false">
      <c r="B6" s="6" t="s">
        <v>1</v>
      </c>
      <c r="C6" s="6"/>
      <c r="D6" s="6"/>
      <c r="E6" s="6" t="s">
        <v>2</v>
      </c>
      <c r="F6" s="6"/>
      <c r="G6" s="6"/>
      <c r="H6" s="6" t="s">
        <v>3</v>
      </c>
      <c r="I6" s="6"/>
      <c r="J6" s="6"/>
      <c r="K6" s="6" t="s">
        <v>4</v>
      </c>
      <c r="L6" s="6"/>
      <c r="M6" s="6"/>
    </row>
    <row r="7" customFormat="false" ht="18" hidden="false" customHeight="true" outlineLevel="0" collapsed="false">
      <c r="B7" s="7" t="n">
        <f aca="false">Pengaturan!$C$10+Pengaturan!$C$11+SUM(Transaksi!$J$6:$J$505)-SUM(Transaksi!$K$6:$K$505)</f>
        <v>20313000</v>
      </c>
      <c r="C7" s="7"/>
      <c r="D7" s="7"/>
      <c r="E7" s="7" t="n">
        <f aca="false">SUM(Transaksi!$J$6:$J$505)</f>
        <v>20843000</v>
      </c>
      <c r="F7" s="7"/>
      <c r="G7" s="7"/>
      <c r="H7" s="7" t="n">
        <f aca="false">SUM(Transaksi!$K$6:$K$505)</f>
        <v>30530000</v>
      </c>
      <c r="I7" s="7"/>
      <c r="J7" s="7"/>
      <c r="K7" s="7" t="n">
        <f aca="false">SUM(Transaksi!$J$6:$J$505)-SUM(Transaksi!$K$6:$K$505)</f>
        <v>-9687000</v>
      </c>
      <c r="L7" s="7"/>
      <c r="M7" s="7"/>
    </row>
    <row r="8" customFormat="false" ht="18" hidden="false" customHeight="true" outlineLevel="0" collapsed="false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customFormat="false" ht="7.5" hidden="false" customHeight="true" outlineLevel="0" collapsed="false"/>
    <row r="10" customFormat="false" ht="19.5" hidden="false" customHeight="true" outlineLevel="0" collapsed="false">
      <c r="B10" s="6" t="s">
        <v>5</v>
      </c>
      <c r="C10" s="6"/>
      <c r="D10" s="6"/>
      <c r="E10" s="6" t="s">
        <v>6</v>
      </c>
      <c r="F10" s="6"/>
      <c r="G10" s="6"/>
      <c r="H10" s="6" t="s">
        <v>7</v>
      </c>
      <c r="I10" s="6"/>
      <c r="J10" s="6"/>
      <c r="K10" s="6" t="s">
        <v>8</v>
      </c>
      <c r="L10" s="6"/>
      <c r="M10" s="6"/>
    </row>
    <row r="11" customFormat="false" ht="18" hidden="false" customHeight="true" outlineLevel="0" collapsed="false">
      <c r="B11" s="7" t="n">
        <f aca="false">Pengaturan!$C$10+SUMIFS(Transaksi!$J$6:$J$505,Transaksi!$G$6:$G$505,Pengaturan!$F$19)-SUMIFS(Transaksi!$K$6:$K$505,Transaksi!$G$6:$G$505,Pengaturan!$F$19)</f>
        <v>4120000</v>
      </c>
      <c r="C11" s="7"/>
      <c r="D11" s="7"/>
      <c r="E11" s="7" t="n">
        <f aca="false">Pengaturan!$C$11+SUMIFS(Transaksi!$J$6:$J$505,Transaksi!$G$6:$G$505,Pengaturan!$F$20)-SUMIFS(Transaksi!$K$6:$K$505,Transaksi!$G$6:$G$505,Pengaturan!$F$20)</f>
        <v>16193000</v>
      </c>
      <c r="F11" s="7"/>
      <c r="G11" s="7"/>
      <c r="H11" s="8" t="n">
        <f aca="false">COUNTA(Event!$C$9:$C$28)</f>
        <v>8</v>
      </c>
      <c r="I11" s="8"/>
      <c r="J11" s="8"/>
      <c r="K11" s="9" t="n">
        <f aca="false">COUNT(Transaksi!$C$6:$C$505)</f>
        <v>39</v>
      </c>
      <c r="L11" s="9"/>
      <c r="M11" s="9"/>
    </row>
    <row r="12" customFormat="false" ht="18" hidden="false" customHeight="true" outlineLevel="0" collapsed="false">
      <c r="B12" s="7"/>
      <c r="C12" s="7"/>
      <c r="D12" s="7"/>
      <c r="E12" s="7"/>
      <c r="F12" s="7"/>
      <c r="G12" s="7"/>
      <c r="H12" s="8"/>
      <c r="I12" s="8"/>
      <c r="J12" s="8"/>
      <c r="K12" s="9"/>
      <c r="L12" s="9"/>
      <c r="M12" s="9"/>
    </row>
    <row r="14" customFormat="false" ht="15" hidden="false" customHeight="false" outlineLevel="0" collapsed="false">
      <c r="B14" s="10" t="s">
        <v>9</v>
      </c>
      <c r="H14" s="10" t="s">
        <v>10</v>
      </c>
    </row>
    <row r="30" customFormat="false" ht="15" hidden="false" customHeight="false" outlineLevel="0" collapsed="false">
      <c r="B30" s="10" t="s">
        <v>11</v>
      </c>
      <c r="H30" s="10" t="s">
        <v>12</v>
      </c>
    </row>
    <row r="31" customFormat="false" ht="15" hidden="false" customHeight="true" outlineLevel="0" collapsed="false">
      <c r="H31" s="11" t="s">
        <v>13</v>
      </c>
      <c r="I31" s="11" t="s">
        <v>14</v>
      </c>
      <c r="J31" s="11"/>
      <c r="K31" s="11"/>
      <c r="L31" s="11" t="s">
        <v>15</v>
      </c>
      <c r="M31" s="11" t="s">
        <v>16</v>
      </c>
    </row>
    <row r="32" customFormat="false" ht="21.75" hidden="false" customHeight="true" outlineLevel="0" collapsed="false">
      <c r="H32" s="12" t="n">
        <f aca="false">IF(COUNT(Transaksi!$C$6:$C$505)&lt;1,"",INDEX(Transaksi!$C$6:$C$505,COUNT(Transaksi!$C$6:$C$505)-0))</f>
        <v>46310</v>
      </c>
      <c r="I32" s="13" t="str">
        <f aca="false">IF(COUNT(Transaksi!$C$6:$C$505)&lt;1,"",INDEX(Transaksi!$H$6:$H$505,COUNT(Transaksi!$C$6:$C$505)-0))</f>
        <v>Transport survei lokasi kegiatan</v>
      </c>
      <c r="J32" s="13"/>
      <c r="K32" s="13"/>
      <c r="L32" s="14" t="str">
        <f aca="false">IF(COUNT(Transaksi!$C$6:$C$505)&lt;1,"",INDEX(Transaksi!$E$6:$E$505,COUNT(Transaksi!$C$6:$C$505)-0))</f>
        <v>Pengeluaran</v>
      </c>
      <c r="M32" s="15" t="n">
        <f aca="false">IF(COUNT(Transaksi!$C$6:$C$505)&lt;1,"",INDEX(Transaksi!$I$6:$I$505,COUNT(Transaksi!$C$6:$C$505)-0))</f>
        <v>250000</v>
      </c>
    </row>
    <row r="33" customFormat="false" ht="21.75" hidden="false" customHeight="true" outlineLevel="0" collapsed="false">
      <c r="H33" s="12" t="n">
        <f aca="false">IF(COUNT(Transaksi!$C$6:$C$505)&lt;2,"",INDEX(Transaksi!$C$6:$C$505,COUNT(Transaksi!$C$6:$C$505)-1))</f>
        <v>46310</v>
      </c>
      <c r="I33" s="13" t="str">
        <f aca="false">IF(COUNT(Transaksi!$C$6:$C$505)&lt;2,"",INDEX(Transaksi!$H$6:$H$505,COUNT(Transaksi!$C$6:$C$505)-1))</f>
        <v>Biaya administrasi bank Oktober</v>
      </c>
      <c r="J33" s="13"/>
      <c r="K33" s="13"/>
      <c r="L33" s="14" t="str">
        <f aca="false">IF(COUNT(Transaksi!$C$6:$C$505)&lt;2,"",INDEX(Transaksi!$E$6:$E$505,COUNT(Transaksi!$C$6:$C$505)-1))</f>
        <v>Pengeluaran</v>
      </c>
      <c r="M33" s="15" t="n">
        <f aca="false">IF(COUNT(Transaksi!$C$6:$C$505)&lt;2,"",INDEX(Transaksi!$I$6:$I$505,COUNT(Transaksi!$C$6:$C$505)-1))</f>
        <v>15000</v>
      </c>
    </row>
    <row r="34" customFormat="false" ht="21.75" hidden="false" customHeight="true" outlineLevel="0" collapsed="false">
      <c r="H34" s="12" t="n">
        <f aca="false">IF(COUNT(Transaksi!$C$6:$C$505)&lt;3,"",INDEX(Transaksi!$C$6:$C$505,COUNT(Transaksi!$C$6:$C$505)-2))</f>
        <v>46307</v>
      </c>
      <c r="I34" s="13" t="str">
        <f aca="false">IF(COUNT(Transaksi!$C$6:$C$505)&lt;3,"",INDEX(Transaksi!$H$6:$H$505,COUNT(Transaksi!$C$6:$C$505)-2))</f>
        <v>Konsumsi rapat evaluasi</v>
      </c>
      <c r="J34" s="13"/>
      <c r="K34" s="13"/>
      <c r="L34" s="14" t="str">
        <f aca="false">IF(COUNT(Transaksi!$C$6:$C$505)&lt;3,"",INDEX(Transaksi!$E$6:$E$505,COUNT(Transaksi!$C$6:$C$505)-2))</f>
        <v>Pengeluaran</v>
      </c>
      <c r="M34" s="15" t="n">
        <f aca="false">IF(COUNT(Transaksi!$C$6:$C$505)&lt;3,"",INDEX(Transaksi!$I$6:$I$505,COUNT(Transaksi!$C$6:$C$505)-2))</f>
        <v>500000</v>
      </c>
    </row>
    <row r="35" customFormat="false" ht="21.75" hidden="false" customHeight="true" outlineLevel="0" collapsed="false">
      <c r="H35" s="12" t="n">
        <f aca="false">IF(COUNT(Transaksi!$C$6:$C$505)&lt;4,"",INDEX(Transaksi!$C$6:$C$505,COUNT(Transaksi!$C$6:$C$505)-3))</f>
        <v>46305</v>
      </c>
      <c r="I35" s="13" t="str">
        <f aca="false">IF(COUNT(Transaksi!$C$6:$C$505)&lt;4,"",INDEX(Transaksi!$H$6:$H$505,COUNT(Transaksi!$C$6:$C$505)-3))</f>
        <v>Fotokopi dan materai</v>
      </c>
      <c r="J35" s="13"/>
      <c r="K35" s="13"/>
      <c r="L35" s="14" t="str">
        <f aca="false">IF(COUNT(Transaksi!$C$6:$C$505)&lt;4,"",INDEX(Transaksi!$E$6:$E$505,COUNT(Transaksi!$C$6:$C$505)-3))</f>
        <v>Pengeluaran</v>
      </c>
      <c r="M35" s="15" t="n">
        <f aca="false">IF(COUNT(Transaksi!$C$6:$C$505)&lt;4,"",INDEX(Transaksi!$I$6:$I$505,COUNT(Transaksi!$C$6:$C$505)-3))</f>
        <v>180000</v>
      </c>
    </row>
    <row r="36" customFormat="false" ht="21.75" hidden="false" customHeight="true" outlineLevel="0" collapsed="false">
      <c r="H36" s="12" t="n">
        <f aca="false">IF(COUNT(Transaksi!$C$6:$C$505)&lt;5,"",INDEX(Transaksi!$C$6:$C$505,COUNT(Transaksi!$C$6:$C$505)-4))</f>
        <v>46300</v>
      </c>
      <c r="I36" s="13" t="str">
        <f aca="false">IF(COUNT(Transaksi!$C$6:$C$505)&lt;5,"",INDEX(Transaksi!$H$6:$H$505,COUNT(Transaksi!$C$6:$C$505)-4))</f>
        <v>Sewa sekretariat triwulan IV</v>
      </c>
      <c r="J36" s="13"/>
      <c r="K36" s="13"/>
      <c r="L36" s="14" t="str">
        <f aca="false">IF(COUNT(Transaksi!$C$6:$C$505)&lt;5,"",INDEX(Transaksi!$E$6:$E$505,COUNT(Transaksi!$C$6:$C$505)-4))</f>
        <v>Pengeluaran</v>
      </c>
      <c r="M36" s="15" t="n">
        <f aca="false">IF(COUNT(Transaksi!$C$6:$C$505)&lt;5,"",INDEX(Transaksi!$I$6:$I$505,COUNT(Transaksi!$C$6:$C$505)-4))</f>
        <v>1500000</v>
      </c>
    </row>
    <row r="38" customFormat="false" ht="15" hidden="false" customHeight="false" outlineLevel="0" collapsed="false">
      <c r="H38" s="16" t="s">
        <v>17</v>
      </c>
    </row>
    <row r="39" customFormat="false" ht="21.75" hidden="false" customHeight="true" outlineLevel="0" collapsed="false">
      <c r="H39" s="17" t="s">
        <v>18</v>
      </c>
      <c r="I39" s="17"/>
      <c r="J39" s="17"/>
      <c r="K39" s="17"/>
      <c r="L39" s="18" t="str">
        <f aca="false">COUNTIF(Anggaran!$H$19:$H$30,"Aman")&amp;" kategori"</f>
        <v>6 kategori</v>
      </c>
      <c r="M39" s="18"/>
    </row>
    <row r="40" customFormat="false" ht="21.75" hidden="false" customHeight="true" outlineLevel="0" collapsed="false">
      <c r="H40" s="19" t="s">
        <v>19</v>
      </c>
      <c r="I40" s="19"/>
      <c r="J40" s="19"/>
      <c r="K40" s="19"/>
      <c r="L40" s="20" t="str">
        <f aca="false">COUNTIF(Anggaran!$H$19:$H$30,"Waspada")&amp;" kategori"</f>
        <v>3 kategori</v>
      </c>
      <c r="M40" s="20"/>
    </row>
    <row r="41" customFormat="false" ht="21.75" hidden="false" customHeight="true" outlineLevel="0" collapsed="false">
      <c r="H41" s="21" t="s">
        <v>20</v>
      </c>
      <c r="I41" s="21"/>
      <c r="J41" s="21"/>
      <c r="K41" s="21"/>
      <c r="L41" s="22" t="str">
        <f aca="false">COUNTIF(Anggaran!$H$19:$H$30,"Melebihi")&amp;" kategori"</f>
        <v>1 kategori</v>
      </c>
      <c r="M41" s="22"/>
    </row>
    <row r="43" customFormat="false" ht="15" hidden="false" customHeight="false" outlineLevel="0" collapsed="false">
      <c r="H43" s="23" t="s">
        <v>21</v>
      </c>
      <c r="I43" s="23"/>
      <c r="J43" s="23"/>
      <c r="K43" s="23"/>
      <c r="L43" s="24" t="n">
        <f aca="false">Event!K29</f>
        <v>4550000</v>
      </c>
      <c r="M43" s="24"/>
    </row>
    <row r="44" customFormat="false" ht="15" hidden="false" customHeight="false" outlineLevel="0" collapsed="false">
      <c r="H44" s="25" t="s">
        <v>22</v>
      </c>
    </row>
    <row r="50" customFormat="false" ht="15" hidden="false" customHeight="false" outlineLevel="0" collapsed="false">
      <c r="B50" s="10" t="s">
        <v>23</v>
      </c>
    </row>
    <row r="68" customFormat="false" ht="15" hidden="false" customHeight="false" outlineLevel="0" collapsed="false">
      <c r="B68" s="26" t="s">
        <v>24</v>
      </c>
    </row>
  </sheetData>
  <mergeCells count="32">
    <mergeCell ref="B1:M1"/>
    <mergeCell ref="B2:M2"/>
    <mergeCell ref="B6:D6"/>
    <mergeCell ref="E6:G6"/>
    <mergeCell ref="H6:J6"/>
    <mergeCell ref="K6:M6"/>
    <mergeCell ref="B7:D8"/>
    <mergeCell ref="E7:G8"/>
    <mergeCell ref="H7:J8"/>
    <mergeCell ref="K7:M8"/>
    <mergeCell ref="B10:D10"/>
    <mergeCell ref="E10:G10"/>
    <mergeCell ref="H10:J10"/>
    <mergeCell ref="K10:M10"/>
    <mergeCell ref="B11:D12"/>
    <mergeCell ref="E11:G12"/>
    <mergeCell ref="H11:J12"/>
    <mergeCell ref="K11:M12"/>
    <mergeCell ref="I31:K31"/>
    <mergeCell ref="I32:K32"/>
    <mergeCell ref="I33:K33"/>
    <mergeCell ref="I34:K34"/>
    <mergeCell ref="I35:K35"/>
    <mergeCell ref="I36:K36"/>
    <mergeCell ref="H39:K39"/>
    <mergeCell ref="L39:M39"/>
    <mergeCell ref="H40:K40"/>
    <mergeCell ref="L40:M40"/>
    <mergeCell ref="H41:K41"/>
    <mergeCell ref="L41:M41"/>
    <mergeCell ref="H43:K43"/>
    <mergeCell ref="L43:M43"/>
  </mergeCells>
  <conditionalFormatting sqref="K7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L32:L36">
    <cfRule type="cellIs" priority="4" operator="equal" aboveAverage="0" equalAverage="0" bottom="0" percent="0" rank="0" text="" dxfId="2">
      <formula>Pengaturan!$J$19</formula>
    </cfRule>
    <cfRule type="cellIs" priority="5" operator="equal" aboveAverage="0" equalAverage="0" bottom="0" percent="0" rank="0" text="" dxfId="3">
      <formula>Pengaturan!$J$20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0000"/>
    <pageSetUpPr fitToPage="true"/>
  </sheetPr>
  <dimension ref="A1:O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3"/>
    <col collapsed="false" customWidth="true" hidden="false" outlineLevel="0" max="8" min="8" style="0" width="46"/>
    <col collapsed="false" customWidth="true" hidden="false" outlineLevel="0" max="11" min="9" style="0" width="16"/>
    <col collapsed="false" customWidth="true" hidden="false" outlineLevel="0" max="12" min="12" style="0" width="8"/>
    <col collapsed="false" customWidth="true" hidden="false" outlineLevel="0" max="13" min="13" style="0" width="18"/>
    <col collapsed="false" customWidth="true" hidden="false" outlineLevel="0" max="14" min="14" style="0" width="26"/>
    <col collapsed="false" customWidth="true" hidden="false" outlineLevel="0" max="15" min="15" style="0" width="30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1"/>
      <c r="B2" s="3" t="str">
        <f aca="false">"Tahun Buku "&amp;Pengaturan!$C$6&amp;"  •  "&amp;Pengaturan!$C$5&amp;"  •  Dikelola oleh Bendahara: "&amp;Pengaturan!$C$9</f>
        <v>Tahun Buku 2026  •  HAPIA Jember  •  Dikelola oleh Bendahara: Nama Bendahara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1.75" hidden="false" customHeight="true" outlineLevel="0" collapsed="false">
      <c r="B4" s="27" t="s">
        <v>25</v>
      </c>
      <c r="I4" s="28" t="s">
        <v>26</v>
      </c>
      <c r="J4" s="29" t="n">
        <f aca="false">SUM(J6:J505)</f>
        <v>20843000</v>
      </c>
      <c r="K4" s="29" t="n">
        <f aca="false">SUM(K6:K505)</f>
        <v>30530000</v>
      </c>
    </row>
    <row r="5" customFormat="false" ht="31.5" hidden="false" customHeight="true" outlineLevel="0" collapsed="false">
      <c r="B5" s="30" t="s">
        <v>27</v>
      </c>
      <c r="C5" s="30" t="s">
        <v>13</v>
      </c>
      <c r="D5" s="30" t="s">
        <v>28</v>
      </c>
      <c r="E5" s="30" t="s">
        <v>15</v>
      </c>
      <c r="F5" s="30" t="s">
        <v>29</v>
      </c>
      <c r="G5" s="30" t="s">
        <v>30</v>
      </c>
      <c r="H5" s="30" t="s">
        <v>31</v>
      </c>
      <c r="I5" s="30" t="s">
        <v>16</v>
      </c>
      <c r="J5" s="30" t="s">
        <v>32</v>
      </c>
      <c r="K5" s="30" t="s">
        <v>33</v>
      </c>
      <c r="L5" s="30" t="s">
        <v>34</v>
      </c>
      <c r="M5" s="30" t="s">
        <v>35</v>
      </c>
      <c r="N5" s="30" t="s">
        <v>36</v>
      </c>
      <c r="O5" s="30" t="s">
        <v>37</v>
      </c>
    </row>
    <row r="6" customFormat="false" ht="15" hidden="false" customHeight="false" outlineLevel="0" collapsed="false">
      <c r="B6" s="31" t="n">
        <f aca="false">IF(C6="","",ROW()-5)</f>
        <v>1</v>
      </c>
      <c r="C6" s="32" t="n">
        <v>46027</v>
      </c>
      <c r="D6" s="33" t="s">
        <v>38</v>
      </c>
      <c r="E6" s="33" t="s">
        <v>39</v>
      </c>
      <c r="F6" s="34" t="s">
        <v>40</v>
      </c>
      <c r="G6" s="33" t="s">
        <v>41</v>
      </c>
      <c r="H6" s="34" t="s">
        <v>42</v>
      </c>
      <c r="I6" s="35" t="n">
        <v>1500000</v>
      </c>
      <c r="J6" s="36" t="n">
        <f aca="false">IF(OR(C6="",I6=""),"",IF(E6=Pengaturan!$J$19,I6,0))</f>
        <v>0</v>
      </c>
      <c r="K6" s="36" t="n">
        <f aca="false">IF(OR(C6="",I6=""),"",IF(E6=Pengaturan!$J$20,I6,0))</f>
        <v>1500000</v>
      </c>
      <c r="L6" s="31" t="n">
        <f aca="false">IF(C6="","",MONTH(C6))</f>
        <v>1</v>
      </c>
      <c r="M6" s="34" t="s">
        <v>43</v>
      </c>
      <c r="N6" s="34"/>
      <c r="O6" s="34"/>
    </row>
    <row r="7" customFormat="false" ht="15" hidden="false" customHeight="false" outlineLevel="0" collapsed="false">
      <c r="B7" s="31" t="n">
        <f aca="false">IF(C7="","",ROW()-5)</f>
        <v>2</v>
      </c>
      <c r="C7" s="32" t="n">
        <v>46032</v>
      </c>
      <c r="D7" s="33" t="s">
        <v>44</v>
      </c>
      <c r="E7" s="33" t="s">
        <v>45</v>
      </c>
      <c r="F7" s="34" t="s">
        <v>46</v>
      </c>
      <c r="G7" s="33" t="s">
        <v>41</v>
      </c>
      <c r="H7" s="34" t="s">
        <v>47</v>
      </c>
      <c r="I7" s="35" t="n">
        <v>2000000</v>
      </c>
      <c r="J7" s="36" t="n">
        <f aca="false">IF(OR(C7="",I7=""),"",IF(E7=Pengaturan!$J$19,I7,0))</f>
        <v>2000000</v>
      </c>
      <c r="K7" s="36" t="n">
        <f aca="false">IF(OR(C7="",I7=""),"",IF(E7=Pengaturan!$J$20,I7,0))</f>
        <v>0</v>
      </c>
      <c r="L7" s="31" t="n">
        <f aca="false">IF(C7="","",MONTH(C7))</f>
        <v>1</v>
      </c>
      <c r="M7" s="34" t="s">
        <v>48</v>
      </c>
      <c r="N7" s="34" t="s">
        <v>49</v>
      </c>
      <c r="O7" s="34" t="s">
        <v>50</v>
      </c>
    </row>
    <row r="8" customFormat="false" ht="15" hidden="false" customHeight="false" outlineLevel="0" collapsed="false">
      <c r="B8" s="31" t="n">
        <f aca="false">IF(C8="","",ROW()-5)</f>
        <v>3</v>
      </c>
      <c r="C8" s="32" t="n">
        <v>46034</v>
      </c>
      <c r="D8" s="33" t="s">
        <v>51</v>
      </c>
      <c r="E8" s="33" t="s">
        <v>39</v>
      </c>
      <c r="F8" s="34" t="s">
        <v>52</v>
      </c>
      <c r="G8" s="33" t="s">
        <v>53</v>
      </c>
      <c r="H8" s="34" t="s">
        <v>54</v>
      </c>
      <c r="I8" s="35" t="n">
        <v>450000</v>
      </c>
      <c r="J8" s="36" t="n">
        <f aca="false">IF(OR(C8="",I8=""),"",IF(E8=Pengaturan!$J$19,I8,0))</f>
        <v>0</v>
      </c>
      <c r="K8" s="36" t="n">
        <f aca="false">IF(OR(C8="",I8=""),"",IF(E8=Pengaturan!$J$20,I8,0))</f>
        <v>450000</v>
      </c>
      <c r="L8" s="31" t="n">
        <f aca="false">IF(C8="","",MONTH(C8))</f>
        <v>1</v>
      </c>
      <c r="M8" s="34" t="s">
        <v>55</v>
      </c>
      <c r="N8" s="34"/>
      <c r="O8" s="34"/>
    </row>
    <row r="9" customFormat="false" ht="15" hidden="false" customHeight="false" outlineLevel="0" collapsed="false">
      <c r="B9" s="31" t="n">
        <f aca="false">IF(C9="","",ROW()-5)</f>
        <v>4</v>
      </c>
      <c r="C9" s="32" t="n">
        <v>46047</v>
      </c>
      <c r="D9" s="33" t="s">
        <v>56</v>
      </c>
      <c r="E9" s="33" t="s">
        <v>39</v>
      </c>
      <c r="F9" s="34" t="s">
        <v>57</v>
      </c>
      <c r="G9" s="33" t="s">
        <v>53</v>
      </c>
      <c r="H9" s="34" t="s">
        <v>58</v>
      </c>
      <c r="I9" s="35" t="n">
        <v>600000</v>
      </c>
      <c r="J9" s="36" t="n">
        <f aca="false">IF(OR(C9="",I9=""),"",IF(E9=Pengaturan!$J$19,I9,0))</f>
        <v>0</v>
      </c>
      <c r="K9" s="36" t="n">
        <f aca="false">IF(OR(C9="",I9=""),"",IF(E9=Pengaturan!$J$20,I9,0))</f>
        <v>600000</v>
      </c>
      <c r="L9" s="31" t="n">
        <f aca="false">IF(C9="","",MONTH(C9))</f>
        <v>1</v>
      </c>
      <c r="M9" s="34" t="s">
        <v>59</v>
      </c>
      <c r="N9" s="34"/>
      <c r="O9" s="34" t="s">
        <v>60</v>
      </c>
    </row>
    <row r="10" customFormat="false" ht="15" hidden="false" customHeight="false" outlineLevel="0" collapsed="false">
      <c r="B10" s="31" t="n">
        <f aca="false">IF(C10="","",ROW()-5)</f>
        <v>5</v>
      </c>
      <c r="C10" s="32" t="n">
        <v>46050</v>
      </c>
      <c r="D10" s="33" t="s">
        <v>61</v>
      </c>
      <c r="E10" s="33" t="s">
        <v>39</v>
      </c>
      <c r="F10" s="34" t="s">
        <v>62</v>
      </c>
      <c r="G10" s="33" t="s">
        <v>41</v>
      </c>
      <c r="H10" s="34" t="s">
        <v>63</v>
      </c>
      <c r="I10" s="35" t="n">
        <v>15000</v>
      </c>
      <c r="J10" s="36" t="n">
        <f aca="false">IF(OR(C10="",I10=""),"",IF(E10=Pengaturan!$J$19,I10,0))</f>
        <v>0</v>
      </c>
      <c r="K10" s="36" t="n">
        <f aca="false">IF(OR(C10="",I10=""),"",IF(E10=Pengaturan!$J$20,I10,0))</f>
        <v>15000</v>
      </c>
      <c r="L10" s="31" t="n">
        <f aca="false">IF(C10="","",MONTH(C10))</f>
        <v>1</v>
      </c>
      <c r="M10" s="34" t="s">
        <v>43</v>
      </c>
      <c r="N10" s="34" t="s">
        <v>64</v>
      </c>
      <c r="O10" s="34"/>
    </row>
    <row r="11" customFormat="false" ht="15" hidden="false" customHeight="false" outlineLevel="0" collapsed="false">
      <c r="B11" s="31" t="n">
        <f aca="false">IF(C11="","",ROW()-5)</f>
        <v>6</v>
      </c>
      <c r="C11" s="32" t="n">
        <v>46065</v>
      </c>
      <c r="D11" s="33" t="s">
        <v>65</v>
      </c>
      <c r="E11" s="33" t="s">
        <v>45</v>
      </c>
      <c r="F11" s="34" t="s">
        <v>66</v>
      </c>
      <c r="G11" s="33" t="s">
        <v>41</v>
      </c>
      <c r="H11" s="34" t="s">
        <v>67</v>
      </c>
      <c r="I11" s="35" t="n">
        <v>3500000</v>
      </c>
      <c r="J11" s="36" t="n">
        <f aca="false">IF(OR(C11="",I11=""),"",IF(E11=Pengaturan!$J$19,I11,0))</f>
        <v>3500000</v>
      </c>
      <c r="K11" s="36" t="n">
        <f aca="false">IF(OR(C11="",I11=""),"",IF(E11=Pengaturan!$J$20,I11,0))</f>
        <v>0</v>
      </c>
      <c r="L11" s="31" t="n">
        <f aca="false">IF(C11="","",MONTH(C11))</f>
        <v>2</v>
      </c>
      <c r="M11" s="34" t="s">
        <v>55</v>
      </c>
      <c r="N11" s="34"/>
      <c r="O11" s="34" t="s">
        <v>50</v>
      </c>
    </row>
    <row r="12" customFormat="false" ht="15" hidden="false" customHeight="false" outlineLevel="0" collapsed="false">
      <c r="B12" s="31" t="n">
        <f aca="false">IF(C12="","",ROW()-5)</f>
        <v>7</v>
      </c>
      <c r="C12" s="32" t="n">
        <v>46068</v>
      </c>
      <c r="D12" s="33" t="s">
        <v>68</v>
      </c>
      <c r="E12" s="33" t="s">
        <v>45</v>
      </c>
      <c r="F12" s="34" t="s">
        <v>69</v>
      </c>
      <c r="G12" s="33" t="s">
        <v>41</v>
      </c>
      <c r="H12" s="34" t="s">
        <v>70</v>
      </c>
      <c r="I12" s="35" t="n">
        <v>5000000</v>
      </c>
      <c r="J12" s="36" t="n">
        <f aca="false">IF(OR(C12="",I12=""),"",IF(E12=Pengaturan!$J$19,I12,0))</f>
        <v>5000000</v>
      </c>
      <c r="K12" s="36" t="n">
        <f aca="false">IF(OR(C12="",I12=""),"",IF(E12=Pengaturan!$J$20,I12,0))</f>
        <v>0</v>
      </c>
      <c r="L12" s="31" t="n">
        <f aca="false">IF(C12="","",MONTH(C12))</f>
        <v>2</v>
      </c>
      <c r="M12" s="34" t="s">
        <v>55</v>
      </c>
      <c r="N12" s="34"/>
      <c r="O12" s="34" t="s">
        <v>50</v>
      </c>
    </row>
    <row r="13" customFormat="false" ht="15" hidden="false" customHeight="false" outlineLevel="0" collapsed="false">
      <c r="B13" s="31" t="n">
        <f aca="false">IF(C13="","",ROW()-5)</f>
        <v>8</v>
      </c>
      <c r="C13" s="32" t="n">
        <v>46073</v>
      </c>
      <c r="D13" s="33" t="s">
        <v>71</v>
      </c>
      <c r="E13" s="33" t="s">
        <v>39</v>
      </c>
      <c r="F13" s="34" t="s">
        <v>72</v>
      </c>
      <c r="G13" s="33" t="s">
        <v>41</v>
      </c>
      <c r="H13" s="34" t="s">
        <v>73</v>
      </c>
      <c r="I13" s="35" t="n">
        <v>6500000</v>
      </c>
      <c r="J13" s="36" t="n">
        <f aca="false">IF(OR(C13="",I13=""),"",IF(E13=Pengaturan!$J$19,I13,0))</f>
        <v>0</v>
      </c>
      <c r="K13" s="36" t="n">
        <f aca="false">IF(OR(C13="",I13=""),"",IF(E13=Pengaturan!$J$20,I13,0))</f>
        <v>6500000</v>
      </c>
      <c r="L13" s="31" t="n">
        <f aca="false">IF(C13="","",MONTH(C13))</f>
        <v>2</v>
      </c>
      <c r="M13" s="34" t="s">
        <v>74</v>
      </c>
      <c r="N13" s="34" t="s">
        <v>75</v>
      </c>
      <c r="O13" s="34" t="s">
        <v>50</v>
      </c>
    </row>
    <row r="14" customFormat="false" ht="15" hidden="false" customHeight="false" outlineLevel="0" collapsed="false">
      <c r="B14" s="31" t="n">
        <f aca="false">IF(C14="","",ROW()-5)</f>
        <v>9</v>
      </c>
      <c r="C14" s="32" t="n">
        <v>46081</v>
      </c>
      <c r="D14" s="33" t="s">
        <v>76</v>
      </c>
      <c r="E14" s="33" t="s">
        <v>39</v>
      </c>
      <c r="F14" s="34" t="s">
        <v>62</v>
      </c>
      <c r="G14" s="33" t="s">
        <v>41</v>
      </c>
      <c r="H14" s="34" t="s">
        <v>77</v>
      </c>
      <c r="I14" s="35" t="n">
        <v>15000</v>
      </c>
      <c r="J14" s="36" t="n">
        <f aca="false">IF(OR(C14="",I14=""),"",IF(E14=Pengaturan!$J$19,I14,0))</f>
        <v>0</v>
      </c>
      <c r="K14" s="36" t="n">
        <f aca="false">IF(OR(C14="",I14=""),"",IF(E14=Pengaturan!$J$20,I14,0))</f>
        <v>15000</v>
      </c>
      <c r="L14" s="31" t="n">
        <f aca="false">IF(C14="","",MONTH(C14))</f>
        <v>2</v>
      </c>
      <c r="M14" s="34" t="s">
        <v>43</v>
      </c>
      <c r="N14" s="34" t="s">
        <v>64</v>
      </c>
      <c r="O14" s="34"/>
    </row>
    <row r="15" customFormat="false" ht="15" hidden="false" customHeight="false" outlineLevel="0" collapsed="false">
      <c r="B15" s="31" t="n">
        <f aca="false">IF(C15="","",ROW()-5)</f>
        <v>10</v>
      </c>
      <c r="C15" s="32" t="n">
        <v>46095</v>
      </c>
      <c r="D15" s="33" t="s">
        <v>78</v>
      </c>
      <c r="E15" s="33" t="s">
        <v>45</v>
      </c>
      <c r="F15" s="34" t="s">
        <v>79</v>
      </c>
      <c r="G15" s="33" t="s">
        <v>53</v>
      </c>
      <c r="H15" s="34" t="s">
        <v>80</v>
      </c>
      <c r="I15" s="35" t="n">
        <v>3200000</v>
      </c>
      <c r="J15" s="36" t="n">
        <f aca="false">IF(OR(C15="",I15=""),"",IF(E15=Pengaturan!$J$19,I15,0))</f>
        <v>3200000</v>
      </c>
      <c r="K15" s="36" t="n">
        <f aca="false">IF(OR(C15="",I15=""),"",IF(E15=Pengaturan!$J$20,I15,0))</f>
        <v>0</v>
      </c>
      <c r="L15" s="31" t="n">
        <f aca="false">IF(C15="","",MONTH(C15))</f>
        <v>3</v>
      </c>
      <c r="M15" s="34" t="s">
        <v>81</v>
      </c>
      <c r="N15" s="34"/>
      <c r="O15" s="34" t="s">
        <v>82</v>
      </c>
    </row>
    <row r="16" customFormat="false" ht="15" hidden="false" customHeight="false" outlineLevel="0" collapsed="false">
      <c r="B16" s="31" t="n">
        <f aca="false">IF(C16="","",ROW()-5)</f>
        <v>11</v>
      </c>
      <c r="C16" s="32" t="n">
        <v>46096</v>
      </c>
      <c r="D16" s="33" t="s">
        <v>83</v>
      </c>
      <c r="E16" s="33" t="s">
        <v>39</v>
      </c>
      <c r="F16" s="34" t="s">
        <v>57</v>
      </c>
      <c r="G16" s="33" t="s">
        <v>53</v>
      </c>
      <c r="H16" s="34" t="s">
        <v>84</v>
      </c>
      <c r="I16" s="35" t="n">
        <v>1200000</v>
      </c>
      <c r="J16" s="36" t="n">
        <f aca="false">IF(OR(C16="",I16=""),"",IF(E16=Pengaturan!$J$19,I16,0))</f>
        <v>0</v>
      </c>
      <c r="K16" s="36" t="n">
        <f aca="false">IF(OR(C16="",I16=""),"",IF(E16=Pengaturan!$J$20,I16,0))</f>
        <v>1200000</v>
      </c>
      <c r="L16" s="31" t="n">
        <f aca="false">IF(C16="","",MONTH(C16))</f>
        <v>3</v>
      </c>
      <c r="M16" s="34" t="s">
        <v>59</v>
      </c>
      <c r="N16" s="34"/>
      <c r="O16" s="34" t="s">
        <v>82</v>
      </c>
    </row>
    <row r="17" customFormat="false" ht="15" hidden="false" customHeight="false" outlineLevel="0" collapsed="false">
      <c r="B17" s="31" t="n">
        <f aca="false">IF(C17="","",ROW()-5)</f>
        <v>12</v>
      </c>
      <c r="C17" s="32" t="n">
        <v>46109</v>
      </c>
      <c r="D17" s="33" t="s">
        <v>85</v>
      </c>
      <c r="E17" s="33" t="s">
        <v>39</v>
      </c>
      <c r="F17" s="34" t="s">
        <v>62</v>
      </c>
      <c r="G17" s="33" t="s">
        <v>41</v>
      </c>
      <c r="H17" s="34" t="s">
        <v>86</v>
      </c>
      <c r="I17" s="35" t="n">
        <v>15000</v>
      </c>
      <c r="J17" s="36" t="n">
        <f aca="false">IF(OR(C17="",I17=""),"",IF(E17=Pengaturan!$J$19,I17,0))</f>
        <v>0</v>
      </c>
      <c r="K17" s="36" t="n">
        <f aca="false">IF(OR(C17="",I17=""),"",IF(E17=Pengaturan!$J$20,I17,0))</f>
        <v>15000</v>
      </c>
      <c r="L17" s="31" t="n">
        <f aca="false">IF(C17="","",MONTH(C17))</f>
        <v>3</v>
      </c>
      <c r="M17" s="34" t="s">
        <v>43</v>
      </c>
      <c r="N17" s="34" t="s">
        <v>64</v>
      </c>
      <c r="O17" s="34"/>
    </row>
    <row r="18" customFormat="false" ht="15" hidden="false" customHeight="false" outlineLevel="0" collapsed="false">
      <c r="B18" s="31" t="n">
        <f aca="false">IF(C18="","",ROW()-5)</f>
        <v>13</v>
      </c>
      <c r="C18" s="32" t="n">
        <v>46112</v>
      </c>
      <c r="D18" s="33" t="s">
        <v>87</v>
      </c>
      <c r="E18" s="33" t="s">
        <v>45</v>
      </c>
      <c r="F18" s="34" t="s">
        <v>88</v>
      </c>
      <c r="G18" s="33" t="s">
        <v>41</v>
      </c>
      <c r="H18" s="34" t="s">
        <v>89</v>
      </c>
      <c r="I18" s="35" t="n">
        <v>45000</v>
      </c>
      <c r="J18" s="36" t="n">
        <f aca="false">IF(OR(C18="",I18=""),"",IF(E18=Pengaturan!$J$19,I18,0))</f>
        <v>45000</v>
      </c>
      <c r="K18" s="36" t="n">
        <f aca="false">IF(OR(C18="",I18=""),"",IF(E18=Pengaturan!$J$20,I18,0))</f>
        <v>0</v>
      </c>
      <c r="L18" s="31" t="n">
        <f aca="false">IF(C18="","",MONTH(C18))</f>
        <v>3</v>
      </c>
      <c r="M18" s="34" t="s">
        <v>43</v>
      </c>
      <c r="N18" s="34"/>
      <c r="O18" s="34"/>
    </row>
    <row r="19" customFormat="false" ht="15" hidden="false" customHeight="false" outlineLevel="0" collapsed="false">
      <c r="B19" s="31" t="n">
        <f aca="false">IF(C19="","",ROW()-5)</f>
        <v>14</v>
      </c>
      <c r="C19" s="32" t="n">
        <v>46117</v>
      </c>
      <c r="D19" s="33" t="s">
        <v>90</v>
      </c>
      <c r="E19" s="33" t="s">
        <v>39</v>
      </c>
      <c r="F19" s="34" t="s">
        <v>40</v>
      </c>
      <c r="G19" s="33" t="s">
        <v>41</v>
      </c>
      <c r="H19" s="34" t="s">
        <v>91</v>
      </c>
      <c r="I19" s="35" t="n">
        <v>1500000</v>
      </c>
      <c r="J19" s="36" t="n">
        <f aca="false">IF(OR(C19="",I19=""),"",IF(E19=Pengaturan!$J$19,I19,0))</f>
        <v>0</v>
      </c>
      <c r="K19" s="36" t="n">
        <f aca="false">IF(OR(C19="",I19=""),"",IF(E19=Pengaturan!$J$20,I19,0))</f>
        <v>1500000</v>
      </c>
      <c r="L19" s="31" t="n">
        <f aca="false">IF(C19="","",MONTH(C19))</f>
        <v>4</v>
      </c>
      <c r="M19" s="34" t="s">
        <v>43</v>
      </c>
      <c r="N19" s="34"/>
      <c r="O19" s="34"/>
    </row>
    <row r="20" customFormat="false" ht="15" hidden="false" customHeight="false" outlineLevel="0" collapsed="false">
      <c r="B20" s="31" t="n">
        <f aca="false">IF(C20="","",ROW()-5)</f>
        <v>15</v>
      </c>
      <c r="C20" s="32" t="n">
        <v>46134</v>
      </c>
      <c r="D20" s="33" t="s">
        <v>92</v>
      </c>
      <c r="E20" s="33" t="s">
        <v>39</v>
      </c>
      <c r="F20" s="34" t="s">
        <v>93</v>
      </c>
      <c r="G20" s="33" t="s">
        <v>53</v>
      </c>
      <c r="H20" s="34" t="s">
        <v>94</v>
      </c>
      <c r="I20" s="35" t="n">
        <v>2000000</v>
      </c>
      <c r="J20" s="36" t="n">
        <f aca="false">IF(OR(C20="",I20=""),"",IF(E20=Pengaturan!$J$19,I20,0))</f>
        <v>0</v>
      </c>
      <c r="K20" s="36" t="n">
        <f aca="false">IF(OR(C20="",I20=""),"",IF(E20=Pengaturan!$J$20,I20,0))</f>
        <v>2000000</v>
      </c>
      <c r="L20" s="31" t="n">
        <f aca="false">IF(C20="","",MONTH(C20))</f>
        <v>4</v>
      </c>
      <c r="M20" s="34" t="s">
        <v>95</v>
      </c>
      <c r="N20" s="34"/>
      <c r="O20" s="34" t="s">
        <v>96</v>
      </c>
    </row>
    <row r="21" customFormat="false" ht="15" hidden="false" customHeight="false" outlineLevel="0" collapsed="false">
      <c r="B21" s="31" t="n">
        <f aca="false">IF(C21="","",ROW()-5)</f>
        <v>16</v>
      </c>
      <c r="C21" s="32" t="n">
        <v>46140</v>
      </c>
      <c r="D21" s="33" t="s">
        <v>97</v>
      </c>
      <c r="E21" s="33" t="s">
        <v>39</v>
      </c>
      <c r="F21" s="34" t="s">
        <v>62</v>
      </c>
      <c r="G21" s="33" t="s">
        <v>41</v>
      </c>
      <c r="H21" s="34" t="s">
        <v>98</v>
      </c>
      <c r="I21" s="35" t="n">
        <v>15000</v>
      </c>
      <c r="J21" s="36" t="n">
        <f aca="false">IF(OR(C21="",I21=""),"",IF(E21=Pengaturan!$J$19,I21,0))</f>
        <v>0</v>
      </c>
      <c r="K21" s="36" t="n">
        <f aca="false">IF(OR(C21="",I21=""),"",IF(E21=Pengaturan!$J$20,I21,0))</f>
        <v>15000</v>
      </c>
      <c r="L21" s="31" t="n">
        <f aca="false">IF(C21="","",MONTH(C21))</f>
        <v>4</v>
      </c>
      <c r="M21" s="34" t="s">
        <v>43</v>
      </c>
      <c r="N21" s="34" t="s">
        <v>64</v>
      </c>
      <c r="O21" s="34"/>
    </row>
    <row r="22" customFormat="false" ht="15" hidden="false" customHeight="false" outlineLevel="0" collapsed="false">
      <c r="B22" s="31" t="n">
        <f aca="false">IF(C22="","",ROW()-5)</f>
        <v>17</v>
      </c>
      <c r="C22" s="32" t="n">
        <v>46152</v>
      </c>
      <c r="D22" s="33" t="s">
        <v>99</v>
      </c>
      <c r="E22" s="33" t="s">
        <v>39</v>
      </c>
      <c r="F22" s="34" t="s">
        <v>100</v>
      </c>
      <c r="G22" s="33" t="s">
        <v>53</v>
      </c>
      <c r="H22" s="34" t="s">
        <v>101</v>
      </c>
      <c r="I22" s="35" t="n">
        <v>350000</v>
      </c>
      <c r="J22" s="36" t="n">
        <f aca="false">IF(OR(C22="",I22=""),"",IF(E22=Pengaturan!$J$19,I22,0))</f>
        <v>0</v>
      </c>
      <c r="K22" s="36" t="n">
        <f aca="false">IF(OR(C22="",I22=""),"",IF(E22=Pengaturan!$J$20,I22,0))</f>
        <v>350000</v>
      </c>
      <c r="L22" s="31" t="n">
        <f aca="false">IF(C22="","",MONTH(C22))</f>
        <v>5</v>
      </c>
      <c r="M22" s="34" t="s">
        <v>55</v>
      </c>
      <c r="N22" s="34"/>
      <c r="O22" s="34"/>
    </row>
    <row r="23" customFormat="false" ht="15" hidden="false" customHeight="false" outlineLevel="0" collapsed="false">
      <c r="B23" s="31" t="n">
        <f aca="false">IF(C23="","",ROW()-5)</f>
        <v>18</v>
      </c>
      <c r="C23" s="32" t="n">
        <v>46170</v>
      </c>
      <c r="D23" s="33" t="s">
        <v>102</v>
      </c>
      <c r="E23" s="33" t="s">
        <v>39</v>
      </c>
      <c r="F23" s="34" t="s">
        <v>62</v>
      </c>
      <c r="G23" s="33" t="s">
        <v>41</v>
      </c>
      <c r="H23" s="34" t="s">
        <v>103</v>
      </c>
      <c r="I23" s="35" t="n">
        <v>15000</v>
      </c>
      <c r="J23" s="36" t="n">
        <f aca="false">IF(OR(C23="",I23=""),"",IF(E23=Pengaturan!$J$19,I23,0))</f>
        <v>0</v>
      </c>
      <c r="K23" s="36" t="n">
        <f aca="false">IF(OR(C23="",I23=""),"",IF(E23=Pengaturan!$J$20,I23,0))</f>
        <v>15000</v>
      </c>
      <c r="L23" s="31" t="n">
        <f aca="false">IF(C23="","",MONTH(C23))</f>
        <v>5</v>
      </c>
      <c r="M23" s="34" t="s">
        <v>43</v>
      </c>
      <c r="N23" s="34" t="s">
        <v>64</v>
      </c>
      <c r="O23" s="34"/>
    </row>
    <row r="24" customFormat="false" ht="15" hidden="false" customHeight="false" outlineLevel="0" collapsed="false">
      <c r="B24" s="31" t="n">
        <f aca="false">IF(C24="","",ROW()-5)</f>
        <v>19</v>
      </c>
      <c r="C24" s="32" t="n">
        <v>46181</v>
      </c>
      <c r="D24" s="33" t="s">
        <v>104</v>
      </c>
      <c r="E24" s="33" t="s">
        <v>39</v>
      </c>
      <c r="F24" s="34" t="s">
        <v>105</v>
      </c>
      <c r="G24" s="33" t="s">
        <v>41</v>
      </c>
      <c r="H24" s="34" t="s">
        <v>106</v>
      </c>
      <c r="I24" s="35" t="n">
        <v>4500000</v>
      </c>
      <c r="J24" s="36" t="n">
        <f aca="false">IF(OR(C24="",I24=""),"",IF(E24=Pengaturan!$J$19,I24,0))</f>
        <v>0</v>
      </c>
      <c r="K24" s="36" t="n">
        <f aca="false">IF(OR(C24="",I24=""),"",IF(E24=Pengaturan!$J$20,I24,0))</f>
        <v>4500000</v>
      </c>
      <c r="L24" s="31" t="n">
        <f aca="false">IF(C24="","",MONTH(C24))</f>
        <v>6</v>
      </c>
      <c r="M24" s="34" t="s">
        <v>43</v>
      </c>
      <c r="N24" s="34" t="s">
        <v>107</v>
      </c>
      <c r="O24" s="34"/>
    </row>
    <row r="25" customFormat="false" ht="15" hidden="false" customHeight="false" outlineLevel="0" collapsed="false">
      <c r="B25" s="31" t="n">
        <f aca="false">IF(C25="","",ROW()-5)</f>
        <v>20</v>
      </c>
      <c r="C25" s="32" t="n">
        <v>46183</v>
      </c>
      <c r="D25" s="33" t="s">
        <v>108</v>
      </c>
      <c r="E25" s="33" t="s">
        <v>45</v>
      </c>
      <c r="F25" s="34" t="s">
        <v>109</v>
      </c>
      <c r="G25" s="33" t="s">
        <v>41</v>
      </c>
      <c r="H25" s="34" t="s">
        <v>110</v>
      </c>
      <c r="I25" s="35" t="n">
        <v>4000000</v>
      </c>
      <c r="J25" s="36" t="n">
        <f aca="false">IF(OR(C25="",I25=""),"",IF(E25=Pengaturan!$J$19,I25,0))</f>
        <v>4000000</v>
      </c>
      <c r="K25" s="36" t="n">
        <f aca="false">IF(OR(C25="",I25=""),"",IF(E25=Pengaturan!$J$20,I25,0))</f>
        <v>0</v>
      </c>
      <c r="L25" s="31" t="n">
        <f aca="false">IF(C25="","",MONTH(C25))</f>
        <v>6</v>
      </c>
      <c r="M25" s="34" t="s">
        <v>48</v>
      </c>
      <c r="N25" s="34"/>
      <c r="O25" s="34" t="s">
        <v>111</v>
      </c>
    </row>
    <row r="26" customFormat="false" ht="15" hidden="false" customHeight="false" outlineLevel="0" collapsed="false">
      <c r="B26" s="31" t="n">
        <f aca="false">IF(C26="","",ROW()-5)</f>
        <v>21</v>
      </c>
      <c r="C26" s="32" t="n">
        <v>46193</v>
      </c>
      <c r="D26" s="33" t="s">
        <v>112</v>
      </c>
      <c r="E26" s="33" t="s">
        <v>45</v>
      </c>
      <c r="F26" s="34" t="s">
        <v>66</v>
      </c>
      <c r="G26" s="33" t="s">
        <v>41</v>
      </c>
      <c r="H26" s="34" t="s">
        <v>113</v>
      </c>
      <c r="I26" s="35" t="n">
        <v>1500000</v>
      </c>
      <c r="J26" s="36" t="n">
        <f aca="false">IF(OR(C26="",I26=""),"",IF(E26=Pengaturan!$J$19,I26,0))</f>
        <v>1500000</v>
      </c>
      <c r="K26" s="36" t="n">
        <f aca="false">IF(OR(C26="",I26=""),"",IF(E26=Pengaturan!$J$20,I26,0))</f>
        <v>0</v>
      </c>
      <c r="L26" s="31" t="n">
        <f aca="false">IF(C26="","",MONTH(C26))</f>
        <v>6</v>
      </c>
      <c r="M26" s="34" t="s">
        <v>55</v>
      </c>
      <c r="N26" s="34"/>
      <c r="O26" s="34" t="s">
        <v>111</v>
      </c>
    </row>
    <row r="27" customFormat="false" ht="15" hidden="false" customHeight="false" outlineLevel="0" collapsed="false">
      <c r="B27" s="31" t="n">
        <f aca="false">IF(C27="","",ROW()-5)</f>
        <v>22</v>
      </c>
      <c r="C27" s="32" t="n">
        <v>46193</v>
      </c>
      <c r="D27" s="33" t="s">
        <v>114</v>
      </c>
      <c r="E27" s="33" t="s">
        <v>39</v>
      </c>
      <c r="F27" s="34" t="s">
        <v>72</v>
      </c>
      <c r="G27" s="33" t="s">
        <v>41</v>
      </c>
      <c r="H27" s="34" t="s">
        <v>115</v>
      </c>
      <c r="I27" s="35" t="n">
        <v>2800000</v>
      </c>
      <c r="J27" s="36" t="n">
        <f aca="false">IF(OR(C27="",I27=""),"",IF(E27=Pengaturan!$J$19,I27,0))</f>
        <v>0</v>
      </c>
      <c r="K27" s="36" t="n">
        <f aca="false">IF(OR(C27="",I27=""),"",IF(E27=Pengaturan!$J$20,I27,0))</f>
        <v>2800000</v>
      </c>
      <c r="L27" s="31" t="n">
        <f aca="false">IF(C27="","",MONTH(C27))</f>
        <v>6</v>
      </c>
      <c r="M27" s="34" t="s">
        <v>74</v>
      </c>
      <c r="N27" s="34"/>
      <c r="O27" s="34" t="s">
        <v>111</v>
      </c>
    </row>
    <row r="28" customFormat="false" ht="15" hidden="false" customHeight="false" outlineLevel="0" collapsed="false">
      <c r="B28" s="31" t="n">
        <f aca="false">IF(C28="","",ROW()-5)</f>
        <v>23</v>
      </c>
      <c r="C28" s="32" t="n">
        <v>46194</v>
      </c>
      <c r="D28" s="33" t="s">
        <v>116</v>
      </c>
      <c r="E28" s="33" t="s">
        <v>39</v>
      </c>
      <c r="F28" s="34" t="s">
        <v>117</v>
      </c>
      <c r="G28" s="33" t="s">
        <v>53</v>
      </c>
      <c r="H28" s="34" t="s">
        <v>118</v>
      </c>
      <c r="I28" s="35" t="n">
        <v>1000000</v>
      </c>
      <c r="J28" s="36" t="n">
        <f aca="false">IF(OR(C28="",I28=""),"",IF(E28=Pengaturan!$J$19,I28,0))</f>
        <v>0</v>
      </c>
      <c r="K28" s="36" t="n">
        <f aca="false">IF(OR(C28="",I28=""),"",IF(E28=Pengaturan!$J$20,I28,0))</f>
        <v>1000000</v>
      </c>
      <c r="L28" s="31" t="n">
        <f aca="false">IF(C28="","",MONTH(C28))</f>
        <v>6</v>
      </c>
      <c r="M28" s="34" t="s">
        <v>43</v>
      </c>
      <c r="N28" s="34"/>
      <c r="O28" s="34" t="s">
        <v>111</v>
      </c>
    </row>
    <row r="29" customFormat="false" ht="15" hidden="false" customHeight="false" outlineLevel="0" collapsed="false">
      <c r="B29" s="31" t="n">
        <f aca="false">IF(C29="","",ROW()-5)</f>
        <v>24</v>
      </c>
      <c r="C29" s="32" t="n">
        <v>46201</v>
      </c>
      <c r="D29" s="33" t="s">
        <v>119</v>
      </c>
      <c r="E29" s="33" t="s">
        <v>39</v>
      </c>
      <c r="F29" s="34" t="s">
        <v>62</v>
      </c>
      <c r="G29" s="33" t="s">
        <v>41</v>
      </c>
      <c r="H29" s="34" t="s">
        <v>120</v>
      </c>
      <c r="I29" s="35" t="n">
        <v>15000</v>
      </c>
      <c r="J29" s="36" t="n">
        <f aca="false">IF(OR(C29="",I29=""),"",IF(E29=Pengaturan!$J$19,I29,0))</f>
        <v>0</v>
      </c>
      <c r="K29" s="36" t="n">
        <f aca="false">IF(OR(C29="",I29=""),"",IF(E29=Pengaturan!$J$20,I29,0))</f>
        <v>15000</v>
      </c>
      <c r="L29" s="31" t="n">
        <f aca="false">IF(C29="","",MONTH(C29))</f>
        <v>6</v>
      </c>
      <c r="M29" s="34" t="s">
        <v>43</v>
      </c>
      <c r="N29" s="34" t="s">
        <v>64</v>
      </c>
      <c r="O29" s="34"/>
    </row>
    <row r="30" customFormat="false" ht="15" hidden="false" customHeight="false" outlineLevel="0" collapsed="false">
      <c r="B30" s="31" t="n">
        <f aca="false">IF(C30="","",ROW()-5)</f>
        <v>25</v>
      </c>
      <c r="C30" s="32" t="n">
        <v>46203</v>
      </c>
      <c r="D30" s="33" t="s">
        <v>121</v>
      </c>
      <c r="E30" s="33" t="s">
        <v>45</v>
      </c>
      <c r="F30" s="34" t="s">
        <v>88</v>
      </c>
      <c r="G30" s="33" t="s">
        <v>41</v>
      </c>
      <c r="H30" s="34" t="s">
        <v>122</v>
      </c>
      <c r="I30" s="35" t="n">
        <v>48000</v>
      </c>
      <c r="J30" s="36" t="n">
        <f aca="false">IF(OR(C30="",I30=""),"",IF(E30=Pengaturan!$J$19,I30,0))</f>
        <v>48000</v>
      </c>
      <c r="K30" s="36" t="n">
        <f aca="false">IF(OR(C30="",I30=""),"",IF(E30=Pengaturan!$J$20,I30,0))</f>
        <v>0</v>
      </c>
      <c r="L30" s="31" t="n">
        <f aca="false">IF(C30="","",MONTH(C30))</f>
        <v>6</v>
      </c>
      <c r="M30" s="34" t="s">
        <v>43</v>
      </c>
      <c r="N30" s="34"/>
      <c r="O30" s="34"/>
    </row>
    <row r="31" customFormat="false" ht="15" hidden="false" customHeight="false" outlineLevel="0" collapsed="false">
      <c r="B31" s="31" t="n">
        <f aca="false">IF(C31="","",ROW()-5)</f>
        <v>26</v>
      </c>
      <c r="C31" s="32" t="n">
        <v>46208</v>
      </c>
      <c r="D31" s="33" t="s">
        <v>123</v>
      </c>
      <c r="E31" s="33" t="s">
        <v>39</v>
      </c>
      <c r="F31" s="34" t="s">
        <v>40</v>
      </c>
      <c r="G31" s="33" t="s">
        <v>41</v>
      </c>
      <c r="H31" s="34" t="s">
        <v>124</v>
      </c>
      <c r="I31" s="35" t="n">
        <v>1500000</v>
      </c>
      <c r="J31" s="36" t="n">
        <f aca="false">IF(OR(C31="",I31=""),"",IF(E31=Pengaturan!$J$19,I31,0))</f>
        <v>0</v>
      </c>
      <c r="K31" s="36" t="n">
        <f aca="false">IF(OR(C31="",I31=""),"",IF(E31=Pengaturan!$J$20,I31,0))</f>
        <v>1500000</v>
      </c>
      <c r="L31" s="31" t="n">
        <f aca="false">IF(C31="","",MONTH(C31))</f>
        <v>7</v>
      </c>
      <c r="M31" s="34" t="s">
        <v>43</v>
      </c>
      <c r="N31" s="34"/>
      <c r="O31" s="34"/>
    </row>
    <row r="32" customFormat="false" ht="15" hidden="false" customHeight="false" outlineLevel="0" collapsed="false">
      <c r="B32" s="31" t="n">
        <f aca="false">IF(C32="","",ROW()-5)</f>
        <v>27</v>
      </c>
      <c r="C32" s="32" t="n">
        <v>46231</v>
      </c>
      <c r="D32" s="33" t="s">
        <v>125</v>
      </c>
      <c r="E32" s="33" t="s">
        <v>39</v>
      </c>
      <c r="F32" s="34" t="s">
        <v>62</v>
      </c>
      <c r="G32" s="33" t="s">
        <v>41</v>
      </c>
      <c r="H32" s="34" t="s">
        <v>126</v>
      </c>
      <c r="I32" s="35" t="n">
        <v>15000</v>
      </c>
      <c r="J32" s="36" t="n">
        <f aca="false">IF(OR(C32="",I32=""),"",IF(E32=Pengaturan!$J$19,I32,0))</f>
        <v>0</v>
      </c>
      <c r="K32" s="36" t="n">
        <f aca="false">IF(OR(C32="",I32=""),"",IF(E32=Pengaturan!$J$20,I32,0))</f>
        <v>15000</v>
      </c>
      <c r="L32" s="31" t="n">
        <f aca="false">IF(C32="","",MONTH(C32))</f>
        <v>7</v>
      </c>
      <c r="M32" s="34" t="s">
        <v>43</v>
      </c>
      <c r="N32" s="34" t="s">
        <v>64</v>
      </c>
      <c r="O32" s="34"/>
    </row>
    <row r="33" customFormat="false" ht="15" hidden="false" customHeight="false" outlineLevel="0" collapsed="false">
      <c r="B33" s="31" t="n">
        <f aca="false">IF(C33="","",ROW()-5)</f>
        <v>28</v>
      </c>
      <c r="C33" s="32" t="n">
        <v>46251</v>
      </c>
      <c r="D33" s="33" t="s">
        <v>127</v>
      </c>
      <c r="E33" s="33" t="s">
        <v>45</v>
      </c>
      <c r="F33" s="34" t="s">
        <v>46</v>
      </c>
      <c r="G33" s="33" t="s">
        <v>53</v>
      </c>
      <c r="H33" s="34" t="s">
        <v>128</v>
      </c>
      <c r="I33" s="35" t="n">
        <v>1500000</v>
      </c>
      <c r="J33" s="36" t="n">
        <f aca="false">IF(OR(C33="",I33=""),"",IF(E33=Pengaturan!$J$19,I33,0))</f>
        <v>1500000</v>
      </c>
      <c r="K33" s="36" t="n">
        <f aca="false">IF(OR(C33="",I33=""),"",IF(E33=Pengaturan!$J$20,I33,0))</f>
        <v>0</v>
      </c>
      <c r="L33" s="31" t="n">
        <f aca="false">IF(C33="","",MONTH(C33))</f>
        <v>8</v>
      </c>
      <c r="M33" s="34" t="s">
        <v>129</v>
      </c>
      <c r="N33" s="34"/>
      <c r="O33" s="34" t="s">
        <v>130</v>
      </c>
    </row>
    <row r="34" customFormat="false" ht="15" hidden="false" customHeight="false" outlineLevel="0" collapsed="false">
      <c r="B34" s="31" t="n">
        <f aca="false">IF(C34="","",ROW()-5)</f>
        <v>29</v>
      </c>
      <c r="C34" s="32" t="n">
        <v>46251</v>
      </c>
      <c r="D34" s="33" t="s">
        <v>131</v>
      </c>
      <c r="E34" s="33" t="s">
        <v>39</v>
      </c>
      <c r="F34" s="34" t="s">
        <v>72</v>
      </c>
      <c r="G34" s="33" t="s">
        <v>53</v>
      </c>
      <c r="H34" s="34" t="s">
        <v>132</v>
      </c>
      <c r="I34" s="35" t="n">
        <v>1300000</v>
      </c>
      <c r="J34" s="36" t="n">
        <f aca="false">IF(OR(C34="",I34=""),"",IF(E34=Pengaturan!$J$19,I34,0))</f>
        <v>0</v>
      </c>
      <c r="K34" s="36" t="n">
        <f aca="false">IF(OR(C34="",I34=""),"",IF(E34=Pengaturan!$J$20,I34,0))</f>
        <v>1300000</v>
      </c>
      <c r="L34" s="31" t="n">
        <f aca="false">IF(C34="","",MONTH(C34))</f>
        <v>8</v>
      </c>
      <c r="M34" s="34" t="s">
        <v>129</v>
      </c>
      <c r="N34" s="34"/>
      <c r="O34" s="34" t="s">
        <v>130</v>
      </c>
    </row>
    <row r="35" customFormat="false" ht="15" hidden="false" customHeight="false" outlineLevel="0" collapsed="false">
      <c r="B35" s="31" t="n">
        <f aca="false">IF(C35="","",ROW()-5)</f>
        <v>30</v>
      </c>
      <c r="C35" s="32" t="n">
        <v>46262</v>
      </c>
      <c r="D35" s="33" t="s">
        <v>133</v>
      </c>
      <c r="E35" s="33" t="s">
        <v>39</v>
      </c>
      <c r="F35" s="34" t="s">
        <v>62</v>
      </c>
      <c r="G35" s="33" t="s">
        <v>41</v>
      </c>
      <c r="H35" s="34" t="s">
        <v>134</v>
      </c>
      <c r="I35" s="35" t="n">
        <v>15000</v>
      </c>
      <c r="J35" s="36" t="n">
        <f aca="false">IF(OR(C35="",I35=""),"",IF(E35=Pengaturan!$J$19,I35,0))</f>
        <v>0</v>
      </c>
      <c r="K35" s="36" t="n">
        <f aca="false">IF(OR(C35="",I35=""),"",IF(E35=Pengaturan!$J$20,I35,0))</f>
        <v>15000</v>
      </c>
      <c r="L35" s="31" t="n">
        <f aca="false">IF(C35="","",MONTH(C35))</f>
        <v>8</v>
      </c>
      <c r="M35" s="34" t="s">
        <v>43</v>
      </c>
      <c r="N35" s="34" t="s">
        <v>64</v>
      </c>
      <c r="O35" s="34"/>
    </row>
    <row r="36" customFormat="false" ht="15" hidden="false" customHeight="false" outlineLevel="0" collapsed="false">
      <c r="B36" s="31" t="n">
        <f aca="false">IF(C36="","",ROW()-5)</f>
        <v>31</v>
      </c>
      <c r="C36" s="32" t="n">
        <v>46270</v>
      </c>
      <c r="D36" s="33" t="s">
        <v>135</v>
      </c>
      <c r="E36" s="33" t="s">
        <v>39</v>
      </c>
      <c r="F36" s="34" t="s">
        <v>105</v>
      </c>
      <c r="G36" s="33" t="s">
        <v>53</v>
      </c>
      <c r="H36" s="34" t="s">
        <v>136</v>
      </c>
      <c r="I36" s="35" t="n">
        <v>1750000</v>
      </c>
      <c r="J36" s="36" t="n">
        <f aca="false">IF(OR(C36="",I36=""),"",IF(E36=Pengaturan!$J$19,I36,0))</f>
        <v>0</v>
      </c>
      <c r="K36" s="36" t="n">
        <f aca="false">IF(OR(C36="",I36=""),"",IF(E36=Pengaturan!$J$20,I36,0))</f>
        <v>1750000</v>
      </c>
      <c r="L36" s="31" t="n">
        <f aca="false">IF(C36="","",MONTH(C36))</f>
        <v>9</v>
      </c>
      <c r="M36" s="34" t="s">
        <v>43</v>
      </c>
      <c r="N36" s="34" t="s">
        <v>107</v>
      </c>
      <c r="O36" s="34"/>
    </row>
    <row r="37" customFormat="false" ht="15" hidden="false" customHeight="false" outlineLevel="0" collapsed="false">
      <c r="B37" s="31" t="n">
        <f aca="false">IF(C37="","",ROW()-5)</f>
        <v>32</v>
      </c>
      <c r="C37" s="32" t="n">
        <v>46283</v>
      </c>
      <c r="D37" s="33" t="s">
        <v>137</v>
      </c>
      <c r="E37" s="33" t="s">
        <v>39</v>
      </c>
      <c r="F37" s="34" t="s">
        <v>93</v>
      </c>
      <c r="G37" s="33" t="s">
        <v>53</v>
      </c>
      <c r="H37" s="34" t="s">
        <v>138</v>
      </c>
      <c r="I37" s="35" t="n">
        <v>1000000</v>
      </c>
      <c r="J37" s="36" t="n">
        <f aca="false">IF(OR(C37="",I37=""),"",IF(E37=Pengaturan!$J$19,I37,0))</f>
        <v>0</v>
      </c>
      <c r="K37" s="36" t="n">
        <f aca="false">IF(OR(C37="",I37=""),"",IF(E37=Pengaturan!$J$20,I37,0))</f>
        <v>1000000</v>
      </c>
      <c r="L37" s="31" t="n">
        <f aca="false">IF(C37="","",MONTH(C37))</f>
        <v>9</v>
      </c>
      <c r="M37" s="34" t="s">
        <v>95</v>
      </c>
      <c r="N37" s="34"/>
      <c r="O37" s="34"/>
    </row>
    <row r="38" customFormat="false" ht="15" hidden="false" customHeight="false" outlineLevel="0" collapsed="false">
      <c r="B38" s="31" t="n">
        <f aca="false">IF(C38="","",ROW()-5)</f>
        <v>33</v>
      </c>
      <c r="C38" s="32" t="n">
        <v>46293</v>
      </c>
      <c r="D38" s="33" t="s">
        <v>139</v>
      </c>
      <c r="E38" s="33" t="s">
        <v>39</v>
      </c>
      <c r="F38" s="34" t="s">
        <v>62</v>
      </c>
      <c r="G38" s="33" t="s">
        <v>41</v>
      </c>
      <c r="H38" s="34" t="s">
        <v>140</v>
      </c>
      <c r="I38" s="35" t="n">
        <v>15000</v>
      </c>
      <c r="J38" s="36" t="n">
        <f aca="false">IF(OR(C38="",I38=""),"",IF(E38=Pengaturan!$J$19,I38,0))</f>
        <v>0</v>
      </c>
      <c r="K38" s="36" t="n">
        <f aca="false">IF(OR(C38="",I38=""),"",IF(E38=Pengaturan!$J$20,I38,0))</f>
        <v>15000</v>
      </c>
      <c r="L38" s="31" t="n">
        <f aca="false">IF(C38="","",MONTH(C38))</f>
        <v>9</v>
      </c>
      <c r="M38" s="34" t="s">
        <v>43</v>
      </c>
      <c r="N38" s="34" t="s">
        <v>64</v>
      </c>
      <c r="O38" s="34"/>
    </row>
    <row r="39" customFormat="false" ht="15" hidden="false" customHeight="false" outlineLevel="0" collapsed="false">
      <c r="B39" s="31" t="n">
        <f aca="false">IF(C39="","",ROW()-5)</f>
        <v>34</v>
      </c>
      <c r="C39" s="32" t="n">
        <v>46295</v>
      </c>
      <c r="D39" s="33" t="s">
        <v>141</v>
      </c>
      <c r="E39" s="33" t="s">
        <v>45</v>
      </c>
      <c r="F39" s="34" t="s">
        <v>88</v>
      </c>
      <c r="G39" s="33" t="s">
        <v>41</v>
      </c>
      <c r="H39" s="34" t="s">
        <v>142</v>
      </c>
      <c r="I39" s="35" t="n">
        <v>50000</v>
      </c>
      <c r="J39" s="36" t="n">
        <f aca="false">IF(OR(C39="",I39=""),"",IF(E39=Pengaturan!$J$19,I39,0))</f>
        <v>50000</v>
      </c>
      <c r="K39" s="36" t="n">
        <f aca="false">IF(OR(C39="",I39=""),"",IF(E39=Pengaturan!$J$20,I39,0))</f>
        <v>0</v>
      </c>
      <c r="L39" s="31" t="n">
        <f aca="false">IF(C39="","",MONTH(C39))</f>
        <v>9</v>
      </c>
      <c r="M39" s="34" t="s">
        <v>43</v>
      </c>
      <c r="N39" s="34"/>
      <c r="O39" s="34"/>
    </row>
    <row r="40" customFormat="false" ht="15" hidden="false" customHeight="false" outlineLevel="0" collapsed="false">
      <c r="B40" s="31" t="n">
        <f aca="false">IF(C40="","",ROW()-5)</f>
        <v>35</v>
      </c>
      <c r="C40" s="32" t="n">
        <v>46300</v>
      </c>
      <c r="D40" s="33" t="s">
        <v>143</v>
      </c>
      <c r="E40" s="33" t="s">
        <v>39</v>
      </c>
      <c r="F40" s="34" t="s">
        <v>40</v>
      </c>
      <c r="G40" s="33" t="s">
        <v>41</v>
      </c>
      <c r="H40" s="34" t="s">
        <v>144</v>
      </c>
      <c r="I40" s="35" t="n">
        <v>1500000</v>
      </c>
      <c r="J40" s="36" t="n">
        <f aca="false">IF(OR(C40="",I40=""),"",IF(E40=Pengaturan!$J$19,I40,0))</f>
        <v>0</v>
      </c>
      <c r="K40" s="36" t="n">
        <f aca="false">IF(OR(C40="",I40=""),"",IF(E40=Pengaturan!$J$20,I40,0))</f>
        <v>1500000</v>
      </c>
      <c r="L40" s="31" t="n">
        <f aca="false">IF(C40="","",MONTH(C40))</f>
        <v>10</v>
      </c>
      <c r="M40" s="34" t="s">
        <v>43</v>
      </c>
      <c r="N40" s="34"/>
      <c r="O40" s="34"/>
    </row>
    <row r="41" customFormat="false" ht="15" hidden="false" customHeight="false" outlineLevel="0" collapsed="false">
      <c r="B41" s="31" t="n">
        <f aca="false">IF(C41="","",ROW()-5)</f>
        <v>36</v>
      </c>
      <c r="C41" s="32" t="n">
        <v>46305</v>
      </c>
      <c r="D41" s="33" t="s">
        <v>145</v>
      </c>
      <c r="E41" s="33" t="s">
        <v>39</v>
      </c>
      <c r="F41" s="34" t="s">
        <v>52</v>
      </c>
      <c r="G41" s="33" t="s">
        <v>53</v>
      </c>
      <c r="H41" s="34" t="s">
        <v>146</v>
      </c>
      <c r="I41" s="35" t="n">
        <v>180000</v>
      </c>
      <c r="J41" s="36" t="n">
        <f aca="false">IF(OR(C41="",I41=""),"",IF(E41=Pengaturan!$J$19,I41,0))</f>
        <v>0</v>
      </c>
      <c r="K41" s="36" t="n">
        <f aca="false">IF(OR(C41="",I41=""),"",IF(E41=Pengaturan!$J$20,I41,0))</f>
        <v>180000</v>
      </c>
      <c r="L41" s="31" t="n">
        <f aca="false">IF(C41="","",MONTH(C41))</f>
        <v>10</v>
      </c>
      <c r="M41" s="34" t="s">
        <v>55</v>
      </c>
      <c r="N41" s="34"/>
      <c r="O41" s="34"/>
    </row>
    <row r="42" customFormat="false" ht="15" hidden="false" customHeight="false" outlineLevel="0" collapsed="false">
      <c r="B42" s="31" t="n">
        <f aca="false">IF(C42="","",ROW()-5)</f>
        <v>37</v>
      </c>
      <c r="C42" s="32" t="n">
        <v>46307</v>
      </c>
      <c r="D42" s="33" t="s">
        <v>147</v>
      </c>
      <c r="E42" s="33" t="s">
        <v>39</v>
      </c>
      <c r="F42" s="34" t="s">
        <v>57</v>
      </c>
      <c r="G42" s="33" t="s">
        <v>53</v>
      </c>
      <c r="H42" s="34" t="s">
        <v>148</v>
      </c>
      <c r="I42" s="35" t="n">
        <v>500000</v>
      </c>
      <c r="J42" s="36" t="n">
        <f aca="false">IF(OR(C42="",I42=""),"",IF(E42=Pengaturan!$J$19,I42,0))</f>
        <v>0</v>
      </c>
      <c r="K42" s="36" t="n">
        <f aca="false">IF(OR(C42="",I42=""),"",IF(E42=Pengaturan!$J$20,I42,0))</f>
        <v>500000</v>
      </c>
      <c r="L42" s="31" t="n">
        <f aca="false">IF(C42="","",MONTH(C42))</f>
        <v>10</v>
      </c>
      <c r="M42" s="34" t="s">
        <v>59</v>
      </c>
      <c r="N42" s="34"/>
      <c r="O42" s="34" t="s">
        <v>149</v>
      </c>
    </row>
    <row r="43" customFormat="false" ht="15" hidden="false" customHeight="false" outlineLevel="0" collapsed="false">
      <c r="B43" s="31" t="n">
        <f aca="false">IF(C43="","",ROW()-5)</f>
        <v>38</v>
      </c>
      <c r="C43" s="32" t="n">
        <v>46310</v>
      </c>
      <c r="D43" s="33" t="s">
        <v>150</v>
      </c>
      <c r="E43" s="33" t="s">
        <v>39</v>
      </c>
      <c r="F43" s="34" t="s">
        <v>62</v>
      </c>
      <c r="G43" s="33" t="s">
        <v>41</v>
      </c>
      <c r="H43" s="34" t="s">
        <v>151</v>
      </c>
      <c r="I43" s="35" t="n">
        <v>15000</v>
      </c>
      <c r="J43" s="36" t="n">
        <f aca="false">IF(OR(C43="",I43=""),"",IF(E43=Pengaturan!$J$19,I43,0))</f>
        <v>0</v>
      </c>
      <c r="K43" s="36" t="n">
        <f aca="false">IF(OR(C43="",I43=""),"",IF(E43=Pengaturan!$J$20,I43,0))</f>
        <v>15000</v>
      </c>
      <c r="L43" s="31" t="n">
        <f aca="false">IF(C43="","",MONTH(C43))</f>
        <v>10</v>
      </c>
      <c r="M43" s="34" t="s">
        <v>43</v>
      </c>
      <c r="N43" s="34" t="s">
        <v>64</v>
      </c>
      <c r="O43" s="34"/>
    </row>
    <row r="44" customFormat="false" ht="15" hidden="false" customHeight="false" outlineLevel="0" collapsed="false">
      <c r="B44" s="31" t="n">
        <f aca="false">IF(C44="","",ROW()-5)</f>
        <v>39</v>
      </c>
      <c r="C44" s="32" t="n">
        <v>46310</v>
      </c>
      <c r="D44" s="33" t="s">
        <v>152</v>
      </c>
      <c r="E44" s="33" t="s">
        <v>39</v>
      </c>
      <c r="F44" s="34" t="s">
        <v>100</v>
      </c>
      <c r="G44" s="33" t="s">
        <v>53</v>
      </c>
      <c r="H44" s="34" t="s">
        <v>153</v>
      </c>
      <c r="I44" s="35" t="n">
        <v>250000</v>
      </c>
      <c r="J44" s="36" t="n">
        <f aca="false">IF(OR(C44="",I44=""),"",IF(E44=Pengaturan!$J$19,I44,0))</f>
        <v>0</v>
      </c>
      <c r="K44" s="36" t="n">
        <f aca="false">IF(OR(C44="",I44=""),"",IF(E44=Pengaturan!$J$20,I44,0))</f>
        <v>250000</v>
      </c>
      <c r="L44" s="31" t="n">
        <f aca="false">IF(C44="","",MONTH(C44))</f>
        <v>10</v>
      </c>
      <c r="M44" s="34" t="s">
        <v>55</v>
      </c>
      <c r="N44" s="34"/>
      <c r="O44" s="34" t="s">
        <v>154</v>
      </c>
    </row>
    <row r="45" customFormat="false" ht="15" hidden="false" customHeight="false" outlineLevel="0" collapsed="false">
      <c r="B45" s="31" t="str">
        <f aca="false">IF(C45="","",ROW()-5)</f>
        <v/>
      </c>
      <c r="C45" s="32"/>
      <c r="D45" s="33"/>
      <c r="E45" s="33"/>
      <c r="F45" s="34"/>
      <c r="G45" s="33"/>
      <c r="H45" s="34"/>
      <c r="I45" s="35"/>
      <c r="J45" s="36" t="str">
        <f aca="false">IF(OR(C45="",I45=""),"",IF(E45=Pengaturan!$J$19,I45,0))</f>
        <v/>
      </c>
      <c r="K45" s="36" t="str">
        <f aca="false">IF(OR(C45="",I45=""),"",IF(E45=Pengaturan!$J$20,I45,0))</f>
        <v/>
      </c>
      <c r="L45" s="31" t="str">
        <f aca="false">IF(C45="","",MONTH(C45))</f>
        <v/>
      </c>
      <c r="M45" s="34"/>
      <c r="N45" s="34"/>
      <c r="O45" s="34"/>
    </row>
    <row r="46" customFormat="false" ht="15" hidden="false" customHeight="false" outlineLevel="0" collapsed="false">
      <c r="B46" s="31" t="str">
        <f aca="false">IF(C46="","",ROW()-5)</f>
        <v/>
      </c>
      <c r="C46" s="32"/>
      <c r="D46" s="33"/>
      <c r="E46" s="33"/>
      <c r="F46" s="34"/>
      <c r="G46" s="33"/>
      <c r="H46" s="34"/>
      <c r="I46" s="35"/>
      <c r="J46" s="36" t="str">
        <f aca="false">IF(OR(C46="",I46=""),"",IF(E46=Pengaturan!$J$19,I46,0))</f>
        <v/>
      </c>
      <c r="K46" s="36" t="str">
        <f aca="false">IF(OR(C46="",I46=""),"",IF(E46=Pengaturan!$J$20,I46,0))</f>
        <v/>
      </c>
      <c r="L46" s="31" t="str">
        <f aca="false">IF(C46="","",MONTH(C46))</f>
        <v/>
      </c>
      <c r="M46" s="34"/>
      <c r="N46" s="34"/>
      <c r="O46" s="34"/>
    </row>
    <row r="47" customFormat="false" ht="15" hidden="false" customHeight="false" outlineLevel="0" collapsed="false">
      <c r="B47" s="31" t="str">
        <f aca="false">IF(C47="","",ROW()-5)</f>
        <v/>
      </c>
      <c r="C47" s="32"/>
      <c r="D47" s="33"/>
      <c r="E47" s="33"/>
      <c r="F47" s="34"/>
      <c r="G47" s="33"/>
      <c r="H47" s="34"/>
      <c r="I47" s="35"/>
      <c r="J47" s="36" t="str">
        <f aca="false">IF(OR(C47="",I47=""),"",IF(E47=Pengaturan!$J$19,I47,0))</f>
        <v/>
      </c>
      <c r="K47" s="36" t="str">
        <f aca="false">IF(OR(C47="",I47=""),"",IF(E47=Pengaturan!$J$20,I47,0))</f>
        <v/>
      </c>
      <c r="L47" s="31" t="str">
        <f aca="false">IF(C47="","",MONTH(C47))</f>
        <v/>
      </c>
      <c r="M47" s="34"/>
      <c r="N47" s="34"/>
      <c r="O47" s="34"/>
    </row>
    <row r="48" customFormat="false" ht="15" hidden="false" customHeight="false" outlineLevel="0" collapsed="false">
      <c r="B48" s="31" t="str">
        <f aca="false">IF(C48="","",ROW()-5)</f>
        <v/>
      </c>
      <c r="C48" s="32"/>
      <c r="D48" s="33"/>
      <c r="E48" s="33"/>
      <c r="F48" s="34"/>
      <c r="G48" s="33"/>
      <c r="H48" s="34"/>
      <c r="I48" s="35"/>
      <c r="J48" s="36" t="str">
        <f aca="false">IF(OR(C48="",I48=""),"",IF(E48=Pengaturan!$J$19,I48,0))</f>
        <v/>
      </c>
      <c r="K48" s="36" t="str">
        <f aca="false">IF(OR(C48="",I48=""),"",IF(E48=Pengaturan!$J$20,I48,0))</f>
        <v/>
      </c>
      <c r="L48" s="31" t="str">
        <f aca="false">IF(C48="","",MONTH(C48))</f>
        <v/>
      </c>
      <c r="M48" s="34"/>
      <c r="N48" s="34"/>
      <c r="O48" s="34"/>
    </row>
    <row r="49" customFormat="false" ht="15" hidden="false" customHeight="false" outlineLevel="0" collapsed="false">
      <c r="B49" s="31" t="str">
        <f aca="false">IF(C49="","",ROW()-5)</f>
        <v/>
      </c>
      <c r="C49" s="32"/>
      <c r="D49" s="33"/>
      <c r="E49" s="33"/>
      <c r="F49" s="34"/>
      <c r="G49" s="33"/>
      <c r="H49" s="34"/>
      <c r="I49" s="35"/>
      <c r="J49" s="36" t="str">
        <f aca="false">IF(OR(C49="",I49=""),"",IF(E49=Pengaturan!$J$19,I49,0))</f>
        <v/>
      </c>
      <c r="K49" s="36" t="str">
        <f aca="false">IF(OR(C49="",I49=""),"",IF(E49=Pengaturan!$J$20,I49,0))</f>
        <v/>
      </c>
      <c r="L49" s="31" t="str">
        <f aca="false">IF(C49="","",MONTH(C49))</f>
        <v/>
      </c>
      <c r="M49" s="34"/>
      <c r="N49" s="34"/>
      <c r="O49" s="34"/>
    </row>
    <row r="50" customFormat="false" ht="15" hidden="false" customHeight="false" outlineLevel="0" collapsed="false">
      <c r="B50" s="31" t="str">
        <f aca="false">IF(C50="","",ROW()-5)</f>
        <v/>
      </c>
      <c r="C50" s="32"/>
      <c r="D50" s="33"/>
      <c r="E50" s="33"/>
      <c r="F50" s="34"/>
      <c r="G50" s="33"/>
      <c r="H50" s="34"/>
      <c r="I50" s="35"/>
      <c r="J50" s="36" t="str">
        <f aca="false">IF(OR(C50="",I50=""),"",IF(E50=Pengaturan!$J$19,I50,0))</f>
        <v/>
      </c>
      <c r="K50" s="36" t="str">
        <f aca="false">IF(OR(C50="",I50=""),"",IF(E50=Pengaturan!$J$20,I50,0))</f>
        <v/>
      </c>
      <c r="L50" s="31" t="str">
        <f aca="false">IF(C50="","",MONTH(C50))</f>
        <v/>
      </c>
      <c r="M50" s="34"/>
      <c r="N50" s="34"/>
      <c r="O50" s="34"/>
    </row>
    <row r="51" customFormat="false" ht="15" hidden="false" customHeight="false" outlineLevel="0" collapsed="false">
      <c r="B51" s="31" t="str">
        <f aca="false">IF(C51="","",ROW()-5)</f>
        <v/>
      </c>
      <c r="C51" s="32"/>
      <c r="D51" s="33"/>
      <c r="E51" s="33"/>
      <c r="F51" s="34"/>
      <c r="G51" s="33"/>
      <c r="H51" s="34"/>
      <c r="I51" s="35"/>
      <c r="J51" s="36" t="str">
        <f aca="false">IF(OR(C51="",I51=""),"",IF(E51=Pengaturan!$J$19,I51,0))</f>
        <v/>
      </c>
      <c r="K51" s="36" t="str">
        <f aca="false">IF(OR(C51="",I51=""),"",IF(E51=Pengaturan!$J$20,I51,0))</f>
        <v/>
      </c>
      <c r="L51" s="31" t="str">
        <f aca="false">IF(C51="","",MONTH(C51))</f>
        <v/>
      </c>
      <c r="M51" s="34"/>
      <c r="N51" s="34"/>
      <c r="O51" s="34"/>
    </row>
    <row r="52" customFormat="false" ht="15" hidden="false" customHeight="false" outlineLevel="0" collapsed="false">
      <c r="B52" s="31" t="str">
        <f aca="false">IF(C52="","",ROW()-5)</f>
        <v/>
      </c>
      <c r="C52" s="32"/>
      <c r="D52" s="33"/>
      <c r="E52" s="33"/>
      <c r="F52" s="34"/>
      <c r="G52" s="33"/>
      <c r="H52" s="34"/>
      <c r="I52" s="35"/>
      <c r="J52" s="36" t="str">
        <f aca="false">IF(OR(C52="",I52=""),"",IF(E52=Pengaturan!$J$19,I52,0))</f>
        <v/>
      </c>
      <c r="K52" s="36" t="str">
        <f aca="false">IF(OR(C52="",I52=""),"",IF(E52=Pengaturan!$J$20,I52,0))</f>
        <v/>
      </c>
      <c r="L52" s="31" t="str">
        <f aca="false">IF(C52="","",MONTH(C52))</f>
        <v/>
      </c>
      <c r="M52" s="34"/>
      <c r="N52" s="34"/>
      <c r="O52" s="34"/>
    </row>
    <row r="53" customFormat="false" ht="15" hidden="false" customHeight="false" outlineLevel="0" collapsed="false">
      <c r="B53" s="31" t="str">
        <f aca="false">IF(C53="","",ROW()-5)</f>
        <v/>
      </c>
      <c r="C53" s="32"/>
      <c r="D53" s="33"/>
      <c r="E53" s="33"/>
      <c r="F53" s="34"/>
      <c r="G53" s="33"/>
      <c r="H53" s="34"/>
      <c r="I53" s="35"/>
      <c r="J53" s="36" t="str">
        <f aca="false">IF(OR(C53="",I53=""),"",IF(E53=Pengaturan!$J$19,I53,0))</f>
        <v/>
      </c>
      <c r="K53" s="36" t="str">
        <f aca="false">IF(OR(C53="",I53=""),"",IF(E53=Pengaturan!$J$20,I53,0))</f>
        <v/>
      </c>
      <c r="L53" s="31" t="str">
        <f aca="false">IF(C53="","",MONTH(C53))</f>
        <v/>
      </c>
      <c r="M53" s="34"/>
      <c r="N53" s="34"/>
      <c r="O53" s="34"/>
    </row>
    <row r="54" customFormat="false" ht="15" hidden="false" customHeight="false" outlineLevel="0" collapsed="false">
      <c r="B54" s="31" t="str">
        <f aca="false">IF(C54="","",ROW()-5)</f>
        <v/>
      </c>
      <c r="C54" s="32"/>
      <c r="D54" s="33"/>
      <c r="E54" s="33"/>
      <c r="F54" s="34"/>
      <c r="G54" s="33"/>
      <c r="H54" s="34"/>
      <c r="I54" s="35"/>
      <c r="J54" s="36" t="str">
        <f aca="false">IF(OR(C54="",I54=""),"",IF(E54=Pengaturan!$J$19,I54,0))</f>
        <v/>
      </c>
      <c r="K54" s="36" t="str">
        <f aca="false">IF(OR(C54="",I54=""),"",IF(E54=Pengaturan!$J$20,I54,0))</f>
        <v/>
      </c>
      <c r="L54" s="31" t="str">
        <f aca="false">IF(C54="","",MONTH(C54))</f>
        <v/>
      </c>
      <c r="M54" s="34"/>
      <c r="N54" s="34"/>
      <c r="O54" s="34"/>
    </row>
    <row r="55" customFormat="false" ht="15" hidden="false" customHeight="false" outlineLevel="0" collapsed="false">
      <c r="B55" s="31" t="str">
        <f aca="false">IF(C55="","",ROW()-5)</f>
        <v/>
      </c>
      <c r="C55" s="32"/>
      <c r="D55" s="33"/>
      <c r="E55" s="33"/>
      <c r="F55" s="34"/>
      <c r="G55" s="33"/>
      <c r="H55" s="34"/>
      <c r="I55" s="35"/>
      <c r="J55" s="36" t="str">
        <f aca="false">IF(OR(C55="",I55=""),"",IF(E55=Pengaturan!$J$19,I55,0))</f>
        <v/>
      </c>
      <c r="K55" s="36" t="str">
        <f aca="false">IF(OR(C55="",I55=""),"",IF(E55=Pengaturan!$J$20,I55,0))</f>
        <v/>
      </c>
      <c r="L55" s="31" t="str">
        <f aca="false">IF(C55="","",MONTH(C55))</f>
        <v/>
      </c>
      <c r="M55" s="34"/>
      <c r="N55" s="34"/>
      <c r="O55" s="34"/>
    </row>
    <row r="56" customFormat="false" ht="15" hidden="false" customHeight="false" outlineLevel="0" collapsed="false">
      <c r="B56" s="31" t="str">
        <f aca="false">IF(C56="","",ROW()-5)</f>
        <v/>
      </c>
      <c r="C56" s="32"/>
      <c r="D56" s="33"/>
      <c r="E56" s="33"/>
      <c r="F56" s="34"/>
      <c r="G56" s="33"/>
      <c r="H56" s="34"/>
      <c r="I56" s="35"/>
      <c r="J56" s="36" t="str">
        <f aca="false">IF(OR(C56="",I56=""),"",IF(E56=Pengaturan!$J$19,I56,0))</f>
        <v/>
      </c>
      <c r="K56" s="36" t="str">
        <f aca="false">IF(OR(C56="",I56=""),"",IF(E56=Pengaturan!$J$20,I56,0))</f>
        <v/>
      </c>
      <c r="L56" s="31" t="str">
        <f aca="false">IF(C56="","",MONTH(C56))</f>
        <v/>
      </c>
      <c r="M56" s="34"/>
      <c r="N56" s="34"/>
      <c r="O56" s="34"/>
    </row>
    <row r="57" customFormat="false" ht="15" hidden="false" customHeight="false" outlineLevel="0" collapsed="false">
      <c r="B57" s="31" t="str">
        <f aca="false">IF(C57="","",ROW()-5)</f>
        <v/>
      </c>
      <c r="C57" s="32"/>
      <c r="D57" s="33"/>
      <c r="E57" s="33"/>
      <c r="F57" s="34"/>
      <c r="G57" s="33"/>
      <c r="H57" s="34"/>
      <c r="I57" s="35"/>
      <c r="J57" s="36" t="str">
        <f aca="false">IF(OR(C57="",I57=""),"",IF(E57=Pengaturan!$J$19,I57,0))</f>
        <v/>
      </c>
      <c r="K57" s="36" t="str">
        <f aca="false">IF(OR(C57="",I57=""),"",IF(E57=Pengaturan!$J$20,I57,0))</f>
        <v/>
      </c>
      <c r="L57" s="31" t="str">
        <f aca="false">IF(C57="","",MONTH(C57))</f>
        <v/>
      </c>
      <c r="M57" s="34"/>
      <c r="N57" s="34"/>
      <c r="O57" s="34"/>
    </row>
    <row r="58" customFormat="false" ht="15" hidden="false" customHeight="false" outlineLevel="0" collapsed="false">
      <c r="B58" s="31" t="str">
        <f aca="false">IF(C58="","",ROW()-5)</f>
        <v/>
      </c>
      <c r="C58" s="32"/>
      <c r="D58" s="33"/>
      <c r="E58" s="33"/>
      <c r="F58" s="34"/>
      <c r="G58" s="33"/>
      <c r="H58" s="34"/>
      <c r="I58" s="35"/>
      <c r="J58" s="36" t="str">
        <f aca="false">IF(OR(C58="",I58=""),"",IF(E58=Pengaturan!$J$19,I58,0))</f>
        <v/>
      </c>
      <c r="K58" s="36" t="str">
        <f aca="false">IF(OR(C58="",I58=""),"",IF(E58=Pengaturan!$J$20,I58,0))</f>
        <v/>
      </c>
      <c r="L58" s="31" t="str">
        <f aca="false">IF(C58="","",MONTH(C58))</f>
        <v/>
      </c>
      <c r="M58" s="34"/>
      <c r="N58" s="34"/>
      <c r="O58" s="34"/>
    </row>
    <row r="59" customFormat="false" ht="15" hidden="false" customHeight="false" outlineLevel="0" collapsed="false">
      <c r="B59" s="31" t="str">
        <f aca="false">IF(C59="","",ROW()-5)</f>
        <v/>
      </c>
      <c r="C59" s="32"/>
      <c r="D59" s="33"/>
      <c r="E59" s="33"/>
      <c r="F59" s="34"/>
      <c r="G59" s="33"/>
      <c r="H59" s="34"/>
      <c r="I59" s="35"/>
      <c r="J59" s="36" t="str">
        <f aca="false">IF(OR(C59="",I59=""),"",IF(E59=Pengaturan!$J$19,I59,0))</f>
        <v/>
      </c>
      <c r="K59" s="36" t="str">
        <f aca="false">IF(OR(C59="",I59=""),"",IF(E59=Pengaturan!$J$20,I59,0))</f>
        <v/>
      </c>
      <c r="L59" s="31" t="str">
        <f aca="false">IF(C59="","",MONTH(C59))</f>
        <v/>
      </c>
      <c r="M59" s="34"/>
      <c r="N59" s="34"/>
      <c r="O59" s="34"/>
    </row>
    <row r="60" customFormat="false" ht="15" hidden="false" customHeight="false" outlineLevel="0" collapsed="false">
      <c r="B60" s="31" t="str">
        <f aca="false">IF(C60="","",ROW()-5)</f>
        <v/>
      </c>
      <c r="C60" s="32"/>
      <c r="D60" s="33"/>
      <c r="E60" s="33"/>
      <c r="F60" s="34"/>
      <c r="G60" s="33"/>
      <c r="H60" s="34"/>
      <c r="I60" s="35"/>
      <c r="J60" s="36" t="str">
        <f aca="false">IF(OR(C60="",I60=""),"",IF(E60=Pengaturan!$J$19,I60,0))</f>
        <v/>
      </c>
      <c r="K60" s="36" t="str">
        <f aca="false">IF(OR(C60="",I60=""),"",IF(E60=Pengaturan!$J$20,I60,0))</f>
        <v/>
      </c>
      <c r="L60" s="31" t="str">
        <f aca="false">IF(C60="","",MONTH(C60))</f>
        <v/>
      </c>
      <c r="M60" s="34"/>
      <c r="N60" s="34"/>
      <c r="O60" s="34"/>
    </row>
    <row r="61" customFormat="false" ht="15" hidden="false" customHeight="false" outlineLevel="0" collapsed="false">
      <c r="B61" s="31" t="str">
        <f aca="false">IF(C61="","",ROW()-5)</f>
        <v/>
      </c>
      <c r="C61" s="32"/>
      <c r="D61" s="33"/>
      <c r="E61" s="33"/>
      <c r="F61" s="34"/>
      <c r="G61" s="33"/>
      <c r="H61" s="34"/>
      <c r="I61" s="35"/>
      <c r="J61" s="36" t="str">
        <f aca="false">IF(OR(C61="",I61=""),"",IF(E61=Pengaturan!$J$19,I61,0))</f>
        <v/>
      </c>
      <c r="K61" s="36" t="str">
        <f aca="false">IF(OR(C61="",I61=""),"",IF(E61=Pengaturan!$J$20,I61,0))</f>
        <v/>
      </c>
      <c r="L61" s="31" t="str">
        <f aca="false">IF(C61="","",MONTH(C61))</f>
        <v/>
      </c>
      <c r="M61" s="34"/>
      <c r="N61" s="34"/>
      <c r="O61" s="34"/>
    </row>
    <row r="62" customFormat="false" ht="15" hidden="false" customHeight="false" outlineLevel="0" collapsed="false">
      <c r="B62" s="31" t="str">
        <f aca="false">IF(C62="","",ROW()-5)</f>
        <v/>
      </c>
      <c r="C62" s="32"/>
      <c r="D62" s="33"/>
      <c r="E62" s="33"/>
      <c r="F62" s="34"/>
      <c r="G62" s="33"/>
      <c r="H62" s="34"/>
      <c r="I62" s="35"/>
      <c r="J62" s="36" t="str">
        <f aca="false">IF(OR(C62="",I62=""),"",IF(E62=Pengaturan!$J$19,I62,0))</f>
        <v/>
      </c>
      <c r="K62" s="36" t="str">
        <f aca="false">IF(OR(C62="",I62=""),"",IF(E62=Pengaturan!$J$20,I62,0))</f>
        <v/>
      </c>
      <c r="L62" s="31" t="str">
        <f aca="false">IF(C62="","",MONTH(C62))</f>
        <v/>
      </c>
      <c r="M62" s="34"/>
      <c r="N62" s="34"/>
      <c r="O62" s="34"/>
    </row>
    <row r="63" customFormat="false" ht="15" hidden="false" customHeight="false" outlineLevel="0" collapsed="false">
      <c r="B63" s="31" t="str">
        <f aca="false">IF(C63="","",ROW()-5)</f>
        <v/>
      </c>
      <c r="C63" s="32"/>
      <c r="D63" s="33"/>
      <c r="E63" s="33"/>
      <c r="F63" s="34"/>
      <c r="G63" s="33"/>
      <c r="H63" s="34"/>
      <c r="I63" s="35"/>
      <c r="J63" s="36" t="str">
        <f aca="false">IF(OR(C63="",I63=""),"",IF(E63=Pengaturan!$J$19,I63,0))</f>
        <v/>
      </c>
      <c r="K63" s="36" t="str">
        <f aca="false">IF(OR(C63="",I63=""),"",IF(E63=Pengaturan!$J$20,I63,0))</f>
        <v/>
      </c>
      <c r="L63" s="31" t="str">
        <f aca="false">IF(C63="","",MONTH(C63))</f>
        <v/>
      </c>
      <c r="M63" s="34"/>
      <c r="N63" s="34"/>
      <c r="O63" s="34"/>
    </row>
    <row r="64" customFormat="false" ht="15" hidden="false" customHeight="false" outlineLevel="0" collapsed="false">
      <c r="B64" s="31" t="str">
        <f aca="false">IF(C64="","",ROW()-5)</f>
        <v/>
      </c>
      <c r="C64" s="32"/>
      <c r="D64" s="33"/>
      <c r="E64" s="33"/>
      <c r="F64" s="34"/>
      <c r="G64" s="33"/>
      <c r="H64" s="34"/>
      <c r="I64" s="35"/>
      <c r="J64" s="36" t="str">
        <f aca="false">IF(OR(C64="",I64=""),"",IF(E64=Pengaturan!$J$19,I64,0))</f>
        <v/>
      </c>
      <c r="K64" s="36" t="str">
        <f aca="false">IF(OR(C64="",I64=""),"",IF(E64=Pengaturan!$J$20,I64,0))</f>
        <v/>
      </c>
      <c r="L64" s="31" t="str">
        <f aca="false">IF(C64="","",MONTH(C64))</f>
        <v/>
      </c>
      <c r="M64" s="34"/>
      <c r="N64" s="34"/>
      <c r="O64" s="34"/>
    </row>
    <row r="65" customFormat="false" ht="15" hidden="false" customHeight="false" outlineLevel="0" collapsed="false">
      <c r="B65" s="31" t="str">
        <f aca="false">IF(C65="","",ROW()-5)</f>
        <v/>
      </c>
      <c r="C65" s="32"/>
      <c r="D65" s="33"/>
      <c r="E65" s="33"/>
      <c r="F65" s="34"/>
      <c r="G65" s="33"/>
      <c r="H65" s="34"/>
      <c r="I65" s="35"/>
      <c r="J65" s="36" t="str">
        <f aca="false">IF(OR(C65="",I65=""),"",IF(E65=Pengaturan!$J$19,I65,0))</f>
        <v/>
      </c>
      <c r="K65" s="36" t="str">
        <f aca="false">IF(OR(C65="",I65=""),"",IF(E65=Pengaturan!$J$20,I65,0))</f>
        <v/>
      </c>
      <c r="L65" s="31" t="str">
        <f aca="false">IF(C65="","",MONTH(C65))</f>
        <v/>
      </c>
      <c r="M65" s="34"/>
      <c r="N65" s="34"/>
      <c r="O65" s="34"/>
    </row>
    <row r="66" customFormat="false" ht="15" hidden="false" customHeight="false" outlineLevel="0" collapsed="false">
      <c r="B66" s="31" t="str">
        <f aca="false">IF(C66="","",ROW()-5)</f>
        <v/>
      </c>
      <c r="C66" s="32"/>
      <c r="D66" s="33"/>
      <c r="E66" s="33"/>
      <c r="F66" s="34"/>
      <c r="G66" s="33"/>
      <c r="H66" s="34"/>
      <c r="I66" s="35"/>
      <c r="J66" s="36" t="str">
        <f aca="false">IF(OR(C66="",I66=""),"",IF(E66=Pengaturan!$J$19,I66,0))</f>
        <v/>
      </c>
      <c r="K66" s="36" t="str">
        <f aca="false">IF(OR(C66="",I66=""),"",IF(E66=Pengaturan!$J$20,I66,0))</f>
        <v/>
      </c>
      <c r="L66" s="31" t="str">
        <f aca="false">IF(C66="","",MONTH(C66))</f>
        <v/>
      </c>
      <c r="M66" s="34"/>
      <c r="N66" s="34"/>
      <c r="O66" s="34"/>
    </row>
    <row r="67" customFormat="false" ht="15" hidden="false" customHeight="false" outlineLevel="0" collapsed="false">
      <c r="B67" s="31" t="str">
        <f aca="false">IF(C67="","",ROW()-5)</f>
        <v/>
      </c>
      <c r="C67" s="32"/>
      <c r="D67" s="33"/>
      <c r="E67" s="33"/>
      <c r="F67" s="34"/>
      <c r="G67" s="33"/>
      <c r="H67" s="34"/>
      <c r="I67" s="35"/>
      <c r="J67" s="36" t="str">
        <f aca="false">IF(OR(C67="",I67=""),"",IF(E67=Pengaturan!$J$19,I67,0))</f>
        <v/>
      </c>
      <c r="K67" s="36" t="str">
        <f aca="false">IF(OR(C67="",I67=""),"",IF(E67=Pengaturan!$J$20,I67,0))</f>
        <v/>
      </c>
      <c r="L67" s="31" t="str">
        <f aca="false">IF(C67="","",MONTH(C67))</f>
        <v/>
      </c>
      <c r="M67" s="34"/>
      <c r="N67" s="34"/>
      <c r="O67" s="34"/>
    </row>
    <row r="68" customFormat="false" ht="15" hidden="false" customHeight="false" outlineLevel="0" collapsed="false">
      <c r="B68" s="31" t="str">
        <f aca="false">IF(C68="","",ROW()-5)</f>
        <v/>
      </c>
      <c r="C68" s="32"/>
      <c r="D68" s="33"/>
      <c r="E68" s="33"/>
      <c r="F68" s="34"/>
      <c r="G68" s="33"/>
      <c r="H68" s="34"/>
      <c r="I68" s="35"/>
      <c r="J68" s="36" t="str">
        <f aca="false">IF(OR(C68="",I68=""),"",IF(E68=Pengaturan!$J$19,I68,0))</f>
        <v/>
      </c>
      <c r="K68" s="36" t="str">
        <f aca="false">IF(OR(C68="",I68=""),"",IF(E68=Pengaturan!$J$20,I68,0))</f>
        <v/>
      </c>
      <c r="L68" s="31" t="str">
        <f aca="false">IF(C68="","",MONTH(C68))</f>
        <v/>
      </c>
      <c r="M68" s="34"/>
      <c r="N68" s="34"/>
      <c r="O68" s="34"/>
    </row>
    <row r="69" customFormat="false" ht="15" hidden="false" customHeight="false" outlineLevel="0" collapsed="false">
      <c r="B69" s="31" t="str">
        <f aca="false">IF(C69="","",ROW()-5)</f>
        <v/>
      </c>
      <c r="C69" s="32"/>
      <c r="D69" s="33"/>
      <c r="E69" s="33"/>
      <c r="F69" s="34"/>
      <c r="G69" s="33"/>
      <c r="H69" s="34"/>
      <c r="I69" s="35"/>
      <c r="J69" s="36" t="str">
        <f aca="false">IF(OR(C69="",I69=""),"",IF(E69=Pengaturan!$J$19,I69,0))</f>
        <v/>
      </c>
      <c r="K69" s="36" t="str">
        <f aca="false">IF(OR(C69="",I69=""),"",IF(E69=Pengaturan!$J$20,I69,0))</f>
        <v/>
      </c>
      <c r="L69" s="31" t="str">
        <f aca="false">IF(C69="","",MONTH(C69))</f>
        <v/>
      </c>
      <c r="M69" s="34"/>
      <c r="N69" s="34"/>
      <c r="O69" s="34"/>
    </row>
    <row r="70" customFormat="false" ht="15" hidden="false" customHeight="false" outlineLevel="0" collapsed="false">
      <c r="B70" s="31" t="str">
        <f aca="false">IF(C70="","",ROW()-5)</f>
        <v/>
      </c>
      <c r="C70" s="32"/>
      <c r="D70" s="33"/>
      <c r="E70" s="33"/>
      <c r="F70" s="34"/>
      <c r="G70" s="33"/>
      <c r="H70" s="34"/>
      <c r="I70" s="35"/>
      <c r="J70" s="36" t="str">
        <f aca="false">IF(OR(C70="",I70=""),"",IF(E70=Pengaturan!$J$19,I70,0))</f>
        <v/>
      </c>
      <c r="K70" s="36" t="str">
        <f aca="false">IF(OR(C70="",I70=""),"",IF(E70=Pengaturan!$J$20,I70,0))</f>
        <v/>
      </c>
      <c r="L70" s="31" t="str">
        <f aca="false">IF(C70="","",MONTH(C70))</f>
        <v/>
      </c>
      <c r="M70" s="34"/>
      <c r="N70" s="34"/>
      <c r="O70" s="34"/>
    </row>
    <row r="71" customFormat="false" ht="15" hidden="false" customHeight="false" outlineLevel="0" collapsed="false">
      <c r="B71" s="31" t="str">
        <f aca="false">IF(C71="","",ROW()-5)</f>
        <v/>
      </c>
      <c r="C71" s="32"/>
      <c r="D71" s="33"/>
      <c r="E71" s="33"/>
      <c r="F71" s="34"/>
      <c r="G71" s="33"/>
      <c r="H71" s="34"/>
      <c r="I71" s="35"/>
      <c r="J71" s="36" t="str">
        <f aca="false">IF(OR(C71="",I71=""),"",IF(E71=Pengaturan!$J$19,I71,0))</f>
        <v/>
      </c>
      <c r="K71" s="36" t="str">
        <f aca="false">IF(OR(C71="",I71=""),"",IF(E71=Pengaturan!$J$20,I71,0))</f>
        <v/>
      </c>
      <c r="L71" s="31" t="str">
        <f aca="false">IF(C71="","",MONTH(C71))</f>
        <v/>
      </c>
      <c r="M71" s="34"/>
      <c r="N71" s="34"/>
      <c r="O71" s="34"/>
    </row>
    <row r="72" customFormat="false" ht="15" hidden="false" customHeight="false" outlineLevel="0" collapsed="false">
      <c r="B72" s="31" t="str">
        <f aca="false">IF(C72="","",ROW()-5)</f>
        <v/>
      </c>
      <c r="C72" s="32"/>
      <c r="D72" s="33"/>
      <c r="E72" s="33"/>
      <c r="F72" s="34"/>
      <c r="G72" s="33"/>
      <c r="H72" s="34"/>
      <c r="I72" s="35"/>
      <c r="J72" s="36" t="str">
        <f aca="false">IF(OR(C72="",I72=""),"",IF(E72=Pengaturan!$J$19,I72,0))</f>
        <v/>
      </c>
      <c r="K72" s="36" t="str">
        <f aca="false">IF(OR(C72="",I72=""),"",IF(E72=Pengaturan!$J$20,I72,0))</f>
        <v/>
      </c>
      <c r="L72" s="31" t="str">
        <f aca="false">IF(C72="","",MONTH(C72))</f>
        <v/>
      </c>
      <c r="M72" s="34"/>
      <c r="N72" s="34"/>
      <c r="O72" s="34"/>
    </row>
    <row r="73" customFormat="false" ht="15" hidden="false" customHeight="false" outlineLevel="0" collapsed="false">
      <c r="B73" s="31" t="str">
        <f aca="false">IF(C73="","",ROW()-5)</f>
        <v/>
      </c>
      <c r="C73" s="32"/>
      <c r="D73" s="33"/>
      <c r="E73" s="33"/>
      <c r="F73" s="34"/>
      <c r="G73" s="33"/>
      <c r="H73" s="34"/>
      <c r="I73" s="35"/>
      <c r="J73" s="36" t="str">
        <f aca="false">IF(OR(C73="",I73=""),"",IF(E73=Pengaturan!$J$19,I73,0))</f>
        <v/>
      </c>
      <c r="K73" s="36" t="str">
        <f aca="false">IF(OR(C73="",I73=""),"",IF(E73=Pengaturan!$J$20,I73,0))</f>
        <v/>
      </c>
      <c r="L73" s="31" t="str">
        <f aca="false">IF(C73="","",MONTH(C73))</f>
        <v/>
      </c>
      <c r="M73" s="34"/>
      <c r="N73" s="34"/>
      <c r="O73" s="34"/>
    </row>
    <row r="74" customFormat="false" ht="15" hidden="false" customHeight="false" outlineLevel="0" collapsed="false">
      <c r="B74" s="31" t="str">
        <f aca="false">IF(C74="","",ROW()-5)</f>
        <v/>
      </c>
      <c r="C74" s="32"/>
      <c r="D74" s="33"/>
      <c r="E74" s="33"/>
      <c r="F74" s="34"/>
      <c r="G74" s="33"/>
      <c r="H74" s="34"/>
      <c r="I74" s="35"/>
      <c r="J74" s="36" t="str">
        <f aca="false">IF(OR(C74="",I74=""),"",IF(E74=Pengaturan!$J$19,I74,0))</f>
        <v/>
      </c>
      <c r="K74" s="36" t="str">
        <f aca="false">IF(OR(C74="",I74=""),"",IF(E74=Pengaturan!$J$20,I74,0))</f>
        <v/>
      </c>
      <c r="L74" s="31" t="str">
        <f aca="false">IF(C74="","",MONTH(C74))</f>
        <v/>
      </c>
      <c r="M74" s="34"/>
      <c r="N74" s="34"/>
      <c r="O74" s="34"/>
    </row>
    <row r="75" customFormat="false" ht="15" hidden="false" customHeight="false" outlineLevel="0" collapsed="false">
      <c r="B75" s="31" t="str">
        <f aca="false">IF(C75="","",ROW()-5)</f>
        <v/>
      </c>
      <c r="C75" s="32"/>
      <c r="D75" s="33"/>
      <c r="E75" s="33"/>
      <c r="F75" s="34"/>
      <c r="G75" s="33"/>
      <c r="H75" s="34"/>
      <c r="I75" s="35"/>
      <c r="J75" s="36" t="str">
        <f aca="false">IF(OR(C75="",I75=""),"",IF(E75=Pengaturan!$J$19,I75,0))</f>
        <v/>
      </c>
      <c r="K75" s="36" t="str">
        <f aca="false">IF(OR(C75="",I75=""),"",IF(E75=Pengaturan!$J$20,I75,0))</f>
        <v/>
      </c>
      <c r="L75" s="31" t="str">
        <f aca="false">IF(C75="","",MONTH(C75))</f>
        <v/>
      </c>
      <c r="M75" s="34"/>
      <c r="N75" s="34"/>
      <c r="O75" s="34"/>
    </row>
    <row r="76" customFormat="false" ht="15" hidden="false" customHeight="false" outlineLevel="0" collapsed="false">
      <c r="B76" s="31" t="str">
        <f aca="false">IF(C76="","",ROW()-5)</f>
        <v/>
      </c>
      <c r="C76" s="32"/>
      <c r="D76" s="33"/>
      <c r="E76" s="33"/>
      <c r="F76" s="34"/>
      <c r="G76" s="33"/>
      <c r="H76" s="34"/>
      <c r="I76" s="35"/>
      <c r="J76" s="36" t="str">
        <f aca="false">IF(OR(C76="",I76=""),"",IF(E76=Pengaturan!$J$19,I76,0))</f>
        <v/>
      </c>
      <c r="K76" s="36" t="str">
        <f aca="false">IF(OR(C76="",I76=""),"",IF(E76=Pengaturan!$J$20,I76,0))</f>
        <v/>
      </c>
      <c r="L76" s="31" t="str">
        <f aca="false">IF(C76="","",MONTH(C76))</f>
        <v/>
      </c>
      <c r="M76" s="34"/>
      <c r="N76" s="34"/>
      <c r="O76" s="34"/>
    </row>
    <row r="77" customFormat="false" ht="15" hidden="false" customHeight="false" outlineLevel="0" collapsed="false">
      <c r="B77" s="31" t="str">
        <f aca="false">IF(C77="","",ROW()-5)</f>
        <v/>
      </c>
      <c r="C77" s="32"/>
      <c r="D77" s="33"/>
      <c r="E77" s="33"/>
      <c r="F77" s="34"/>
      <c r="G77" s="33"/>
      <c r="H77" s="34"/>
      <c r="I77" s="35"/>
      <c r="J77" s="36" t="str">
        <f aca="false">IF(OR(C77="",I77=""),"",IF(E77=Pengaturan!$J$19,I77,0))</f>
        <v/>
      </c>
      <c r="K77" s="36" t="str">
        <f aca="false">IF(OR(C77="",I77=""),"",IF(E77=Pengaturan!$J$20,I77,0))</f>
        <v/>
      </c>
      <c r="L77" s="31" t="str">
        <f aca="false">IF(C77="","",MONTH(C77))</f>
        <v/>
      </c>
      <c r="M77" s="34"/>
      <c r="N77" s="34"/>
      <c r="O77" s="34"/>
    </row>
    <row r="78" customFormat="false" ht="15" hidden="false" customHeight="false" outlineLevel="0" collapsed="false">
      <c r="B78" s="31" t="str">
        <f aca="false">IF(C78="","",ROW()-5)</f>
        <v/>
      </c>
      <c r="C78" s="32"/>
      <c r="D78" s="33"/>
      <c r="E78" s="33"/>
      <c r="F78" s="34"/>
      <c r="G78" s="33"/>
      <c r="H78" s="34"/>
      <c r="I78" s="35"/>
      <c r="J78" s="36" t="str">
        <f aca="false">IF(OR(C78="",I78=""),"",IF(E78=Pengaturan!$J$19,I78,0))</f>
        <v/>
      </c>
      <c r="K78" s="36" t="str">
        <f aca="false">IF(OR(C78="",I78=""),"",IF(E78=Pengaturan!$J$20,I78,0))</f>
        <v/>
      </c>
      <c r="L78" s="31" t="str">
        <f aca="false">IF(C78="","",MONTH(C78))</f>
        <v/>
      </c>
      <c r="M78" s="34"/>
      <c r="N78" s="34"/>
      <c r="O78" s="34"/>
    </row>
    <row r="79" customFormat="false" ht="15" hidden="false" customHeight="false" outlineLevel="0" collapsed="false">
      <c r="B79" s="31" t="str">
        <f aca="false">IF(C79="","",ROW()-5)</f>
        <v/>
      </c>
      <c r="C79" s="32"/>
      <c r="D79" s="33"/>
      <c r="E79" s="33"/>
      <c r="F79" s="34"/>
      <c r="G79" s="33"/>
      <c r="H79" s="34"/>
      <c r="I79" s="35"/>
      <c r="J79" s="36" t="str">
        <f aca="false">IF(OR(C79="",I79=""),"",IF(E79=Pengaturan!$J$19,I79,0))</f>
        <v/>
      </c>
      <c r="K79" s="36" t="str">
        <f aca="false">IF(OR(C79="",I79=""),"",IF(E79=Pengaturan!$J$20,I79,0))</f>
        <v/>
      </c>
      <c r="L79" s="31" t="str">
        <f aca="false">IF(C79="","",MONTH(C79))</f>
        <v/>
      </c>
      <c r="M79" s="34"/>
      <c r="N79" s="34"/>
      <c r="O79" s="34"/>
    </row>
    <row r="80" customFormat="false" ht="15" hidden="false" customHeight="false" outlineLevel="0" collapsed="false">
      <c r="B80" s="31" t="str">
        <f aca="false">IF(C80="","",ROW()-5)</f>
        <v/>
      </c>
      <c r="C80" s="32"/>
      <c r="D80" s="33"/>
      <c r="E80" s="33"/>
      <c r="F80" s="34"/>
      <c r="G80" s="33"/>
      <c r="H80" s="34"/>
      <c r="I80" s="35"/>
      <c r="J80" s="36" t="str">
        <f aca="false">IF(OR(C80="",I80=""),"",IF(E80=Pengaturan!$J$19,I80,0))</f>
        <v/>
      </c>
      <c r="K80" s="36" t="str">
        <f aca="false">IF(OR(C80="",I80=""),"",IF(E80=Pengaturan!$J$20,I80,0))</f>
        <v/>
      </c>
      <c r="L80" s="31" t="str">
        <f aca="false">IF(C80="","",MONTH(C80))</f>
        <v/>
      </c>
      <c r="M80" s="34"/>
      <c r="N80" s="34"/>
      <c r="O80" s="34"/>
    </row>
    <row r="81" customFormat="false" ht="15" hidden="false" customHeight="false" outlineLevel="0" collapsed="false">
      <c r="B81" s="31" t="str">
        <f aca="false">IF(C81="","",ROW()-5)</f>
        <v/>
      </c>
      <c r="C81" s="32"/>
      <c r="D81" s="33"/>
      <c r="E81" s="33"/>
      <c r="F81" s="34"/>
      <c r="G81" s="33"/>
      <c r="H81" s="34"/>
      <c r="I81" s="35"/>
      <c r="J81" s="36" t="str">
        <f aca="false">IF(OR(C81="",I81=""),"",IF(E81=Pengaturan!$J$19,I81,0))</f>
        <v/>
      </c>
      <c r="K81" s="36" t="str">
        <f aca="false">IF(OR(C81="",I81=""),"",IF(E81=Pengaturan!$J$20,I81,0))</f>
        <v/>
      </c>
      <c r="L81" s="31" t="str">
        <f aca="false">IF(C81="","",MONTH(C81))</f>
        <v/>
      </c>
      <c r="M81" s="34"/>
      <c r="N81" s="34"/>
      <c r="O81" s="34"/>
    </row>
    <row r="82" customFormat="false" ht="15" hidden="false" customHeight="false" outlineLevel="0" collapsed="false">
      <c r="B82" s="31" t="str">
        <f aca="false">IF(C82="","",ROW()-5)</f>
        <v/>
      </c>
      <c r="C82" s="32"/>
      <c r="D82" s="33"/>
      <c r="E82" s="33"/>
      <c r="F82" s="34"/>
      <c r="G82" s="33"/>
      <c r="H82" s="34"/>
      <c r="I82" s="35"/>
      <c r="J82" s="36" t="str">
        <f aca="false">IF(OR(C82="",I82=""),"",IF(E82=Pengaturan!$J$19,I82,0))</f>
        <v/>
      </c>
      <c r="K82" s="36" t="str">
        <f aca="false">IF(OR(C82="",I82=""),"",IF(E82=Pengaturan!$J$20,I82,0))</f>
        <v/>
      </c>
      <c r="L82" s="31" t="str">
        <f aca="false">IF(C82="","",MONTH(C82))</f>
        <v/>
      </c>
      <c r="M82" s="34"/>
      <c r="N82" s="34"/>
      <c r="O82" s="34"/>
    </row>
    <row r="83" customFormat="false" ht="15" hidden="false" customHeight="false" outlineLevel="0" collapsed="false">
      <c r="B83" s="31" t="str">
        <f aca="false">IF(C83="","",ROW()-5)</f>
        <v/>
      </c>
      <c r="C83" s="32"/>
      <c r="D83" s="33"/>
      <c r="E83" s="33"/>
      <c r="F83" s="34"/>
      <c r="G83" s="33"/>
      <c r="H83" s="34"/>
      <c r="I83" s="35"/>
      <c r="J83" s="36" t="str">
        <f aca="false">IF(OR(C83="",I83=""),"",IF(E83=Pengaturan!$J$19,I83,0))</f>
        <v/>
      </c>
      <c r="K83" s="36" t="str">
        <f aca="false">IF(OR(C83="",I83=""),"",IF(E83=Pengaturan!$J$20,I83,0))</f>
        <v/>
      </c>
      <c r="L83" s="31" t="str">
        <f aca="false">IF(C83="","",MONTH(C83))</f>
        <v/>
      </c>
      <c r="M83" s="34"/>
      <c r="N83" s="34"/>
      <c r="O83" s="34"/>
    </row>
    <row r="84" customFormat="false" ht="15" hidden="false" customHeight="false" outlineLevel="0" collapsed="false">
      <c r="B84" s="31" t="str">
        <f aca="false">IF(C84="","",ROW()-5)</f>
        <v/>
      </c>
      <c r="C84" s="32"/>
      <c r="D84" s="33"/>
      <c r="E84" s="33"/>
      <c r="F84" s="34"/>
      <c r="G84" s="33"/>
      <c r="H84" s="34"/>
      <c r="I84" s="35"/>
      <c r="J84" s="36" t="str">
        <f aca="false">IF(OR(C84="",I84=""),"",IF(E84=Pengaturan!$J$19,I84,0))</f>
        <v/>
      </c>
      <c r="K84" s="36" t="str">
        <f aca="false">IF(OR(C84="",I84=""),"",IF(E84=Pengaturan!$J$20,I84,0))</f>
        <v/>
      </c>
      <c r="L84" s="31" t="str">
        <f aca="false">IF(C84="","",MONTH(C84))</f>
        <v/>
      </c>
      <c r="M84" s="34"/>
      <c r="N84" s="34"/>
      <c r="O84" s="34"/>
    </row>
    <row r="85" customFormat="false" ht="15" hidden="false" customHeight="false" outlineLevel="0" collapsed="false">
      <c r="B85" s="31" t="str">
        <f aca="false">IF(C85="","",ROW()-5)</f>
        <v/>
      </c>
      <c r="C85" s="32"/>
      <c r="D85" s="33"/>
      <c r="E85" s="33"/>
      <c r="F85" s="34"/>
      <c r="G85" s="33"/>
      <c r="H85" s="34"/>
      <c r="I85" s="35"/>
      <c r="J85" s="36" t="str">
        <f aca="false">IF(OR(C85="",I85=""),"",IF(E85=Pengaturan!$J$19,I85,0))</f>
        <v/>
      </c>
      <c r="K85" s="36" t="str">
        <f aca="false">IF(OR(C85="",I85=""),"",IF(E85=Pengaturan!$J$20,I85,0))</f>
        <v/>
      </c>
      <c r="L85" s="31" t="str">
        <f aca="false">IF(C85="","",MONTH(C85))</f>
        <v/>
      </c>
      <c r="M85" s="34"/>
      <c r="N85" s="34"/>
      <c r="O85" s="34"/>
    </row>
    <row r="86" customFormat="false" ht="15" hidden="false" customHeight="false" outlineLevel="0" collapsed="false">
      <c r="B86" s="31" t="str">
        <f aca="false">IF(C86="","",ROW()-5)</f>
        <v/>
      </c>
      <c r="C86" s="32"/>
      <c r="D86" s="33"/>
      <c r="E86" s="33"/>
      <c r="F86" s="34"/>
      <c r="G86" s="33"/>
      <c r="H86" s="34"/>
      <c r="I86" s="35"/>
      <c r="J86" s="36" t="str">
        <f aca="false">IF(OR(C86="",I86=""),"",IF(E86=Pengaturan!$J$19,I86,0))</f>
        <v/>
      </c>
      <c r="K86" s="36" t="str">
        <f aca="false">IF(OR(C86="",I86=""),"",IF(E86=Pengaturan!$J$20,I86,0))</f>
        <v/>
      </c>
      <c r="L86" s="31" t="str">
        <f aca="false">IF(C86="","",MONTH(C86))</f>
        <v/>
      </c>
      <c r="M86" s="34"/>
      <c r="N86" s="34"/>
      <c r="O86" s="34"/>
    </row>
    <row r="87" customFormat="false" ht="15" hidden="false" customHeight="false" outlineLevel="0" collapsed="false">
      <c r="B87" s="31" t="str">
        <f aca="false">IF(C87="","",ROW()-5)</f>
        <v/>
      </c>
      <c r="C87" s="32"/>
      <c r="D87" s="33"/>
      <c r="E87" s="33"/>
      <c r="F87" s="34"/>
      <c r="G87" s="33"/>
      <c r="H87" s="34"/>
      <c r="I87" s="35"/>
      <c r="J87" s="36" t="str">
        <f aca="false">IF(OR(C87="",I87=""),"",IF(E87=Pengaturan!$J$19,I87,0))</f>
        <v/>
      </c>
      <c r="K87" s="36" t="str">
        <f aca="false">IF(OR(C87="",I87=""),"",IF(E87=Pengaturan!$J$20,I87,0))</f>
        <v/>
      </c>
      <c r="L87" s="31" t="str">
        <f aca="false">IF(C87="","",MONTH(C87))</f>
        <v/>
      </c>
      <c r="M87" s="34"/>
      <c r="N87" s="34"/>
      <c r="O87" s="34"/>
    </row>
    <row r="88" customFormat="false" ht="15" hidden="false" customHeight="false" outlineLevel="0" collapsed="false">
      <c r="B88" s="31" t="str">
        <f aca="false">IF(C88="","",ROW()-5)</f>
        <v/>
      </c>
      <c r="C88" s="32"/>
      <c r="D88" s="33"/>
      <c r="E88" s="33"/>
      <c r="F88" s="34"/>
      <c r="G88" s="33"/>
      <c r="H88" s="34"/>
      <c r="I88" s="35"/>
      <c r="J88" s="36" t="str">
        <f aca="false">IF(OR(C88="",I88=""),"",IF(E88=Pengaturan!$J$19,I88,0))</f>
        <v/>
      </c>
      <c r="K88" s="36" t="str">
        <f aca="false">IF(OR(C88="",I88=""),"",IF(E88=Pengaturan!$J$20,I88,0))</f>
        <v/>
      </c>
      <c r="L88" s="31" t="str">
        <f aca="false">IF(C88="","",MONTH(C88))</f>
        <v/>
      </c>
      <c r="M88" s="34"/>
      <c r="N88" s="34"/>
      <c r="O88" s="34"/>
    </row>
    <row r="89" customFormat="false" ht="15" hidden="false" customHeight="false" outlineLevel="0" collapsed="false">
      <c r="B89" s="31" t="str">
        <f aca="false">IF(C89="","",ROW()-5)</f>
        <v/>
      </c>
      <c r="C89" s="32"/>
      <c r="D89" s="33"/>
      <c r="E89" s="33"/>
      <c r="F89" s="34"/>
      <c r="G89" s="33"/>
      <c r="H89" s="34"/>
      <c r="I89" s="35"/>
      <c r="J89" s="36" t="str">
        <f aca="false">IF(OR(C89="",I89=""),"",IF(E89=Pengaturan!$J$19,I89,0))</f>
        <v/>
      </c>
      <c r="K89" s="36" t="str">
        <f aca="false">IF(OR(C89="",I89=""),"",IF(E89=Pengaturan!$J$20,I89,0))</f>
        <v/>
      </c>
      <c r="L89" s="31" t="str">
        <f aca="false">IF(C89="","",MONTH(C89))</f>
        <v/>
      </c>
      <c r="M89" s="34"/>
      <c r="N89" s="34"/>
      <c r="O89" s="34"/>
    </row>
    <row r="90" customFormat="false" ht="15" hidden="false" customHeight="false" outlineLevel="0" collapsed="false">
      <c r="B90" s="31" t="str">
        <f aca="false">IF(C90="","",ROW()-5)</f>
        <v/>
      </c>
      <c r="C90" s="32"/>
      <c r="D90" s="33"/>
      <c r="E90" s="33"/>
      <c r="F90" s="34"/>
      <c r="G90" s="33"/>
      <c r="H90" s="34"/>
      <c r="I90" s="35"/>
      <c r="J90" s="36" t="str">
        <f aca="false">IF(OR(C90="",I90=""),"",IF(E90=Pengaturan!$J$19,I90,0))</f>
        <v/>
      </c>
      <c r="K90" s="36" t="str">
        <f aca="false">IF(OR(C90="",I90=""),"",IF(E90=Pengaturan!$J$20,I90,0))</f>
        <v/>
      </c>
      <c r="L90" s="31" t="str">
        <f aca="false">IF(C90="","",MONTH(C90))</f>
        <v/>
      </c>
      <c r="M90" s="34"/>
      <c r="N90" s="34"/>
      <c r="O90" s="34"/>
    </row>
    <row r="91" customFormat="false" ht="15" hidden="false" customHeight="false" outlineLevel="0" collapsed="false">
      <c r="B91" s="31" t="str">
        <f aca="false">IF(C91="","",ROW()-5)</f>
        <v/>
      </c>
      <c r="C91" s="32"/>
      <c r="D91" s="33"/>
      <c r="E91" s="33"/>
      <c r="F91" s="34"/>
      <c r="G91" s="33"/>
      <c r="H91" s="34"/>
      <c r="I91" s="35"/>
      <c r="J91" s="36" t="str">
        <f aca="false">IF(OR(C91="",I91=""),"",IF(E91=Pengaturan!$J$19,I91,0))</f>
        <v/>
      </c>
      <c r="K91" s="36" t="str">
        <f aca="false">IF(OR(C91="",I91=""),"",IF(E91=Pengaturan!$J$20,I91,0))</f>
        <v/>
      </c>
      <c r="L91" s="31" t="str">
        <f aca="false">IF(C91="","",MONTH(C91))</f>
        <v/>
      </c>
      <c r="M91" s="34"/>
      <c r="N91" s="34"/>
      <c r="O91" s="34"/>
    </row>
    <row r="92" customFormat="false" ht="15" hidden="false" customHeight="false" outlineLevel="0" collapsed="false">
      <c r="B92" s="31" t="str">
        <f aca="false">IF(C92="","",ROW()-5)</f>
        <v/>
      </c>
      <c r="C92" s="32"/>
      <c r="D92" s="33"/>
      <c r="E92" s="33"/>
      <c r="F92" s="34"/>
      <c r="G92" s="33"/>
      <c r="H92" s="34"/>
      <c r="I92" s="35"/>
      <c r="J92" s="36" t="str">
        <f aca="false">IF(OR(C92="",I92=""),"",IF(E92=Pengaturan!$J$19,I92,0))</f>
        <v/>
      </c>
      <c r="K92" s="36" t="str">
        <f aca="false">IF(OR(C92="",I92=""),"",IF(E92=Pengaturan!$J$20,I92,0))</f>
        <v/>
      </c>
      <c r="L92" s="31" t="str">
        <f aca="false">IF(C92="","",MONTH(C92))</f>
        <v/>
      </c>
      <c r="M92" s="34"/>
      <c r="N92" s="34"/>
      <c r="O92" s="34"/>
    </row>
    <row r="93" customFormat="false" ht="15" hidden="false" customHeight="false" outlineLevel="0" collapsed="false">
      <c r="B93" s="31" t="str">
        <f aca="false">IF(C93="","",ROW()-5)</f>
        <v/>
      </c>
      <c r="C93" s="32"/>
      <c r="D93" s="33"/>
      <c r="E93" s="33"/>
      <c r="F93" s="34"/>
      <c r="G93" s="33"/>
      <c r="H93" s="34"/>
      <c r="I93" s="35"/>
      <c r="J93" s="36" t="str">
        <f aca="false">IF(OR(C93="",I93=""),"",IF(E93=Pengaturan!$J$19,I93,0))</f>
        <v/>
      </c>
      <c r="K93" s="36" t="str">
        <f aca="false">IF(OR(C93="",I93=""),"",IF(E93=Pengaturan!$J$20,I93,0))</f>
        <v/>
      </c>
      <c r="L93" s="31" t="str">
        <f aca="false">IF(C93="","",MONTH(C93))</f>
        <v/>
      </c>
      <c r="M93" s="34"/>
      <c r="N93" s="34"/>
      <c r="O93" s="34"/>
    </row>
    <row r="94" customFormat="false" ht="15" hidden="false" customHeight="false" outlineLevel="0" collapsed="false">
      <c r="B94" s="31" t="str">
        <f aca="false">IF(C94="","",ROW()-5)</f>
        <v/>
      </c>
      <c r="C94" s="32"/>
      <c r="D94" s="33"/>
      <c r="E94" s="33"/>
      <c r="F94" s="34"/>
      <c r="G94" s="33"/>
      <c r="H94" s="34"/>
      <c r="I94" s="35"/>
      <c r="J94" s="36" t="str">
        <f aca="false">IF(OR(C94="",I94=""),"",IF(E94=Pengaturan!$J$19,I94,0))</f>
        <v/>
      </c>
      <c r="K94" s="36" t="str">
        <f aca="false">IF(OR(C94="",I94=""),"",IF(E94=Pengaturan!$J$20,I94,0))</f>
        <v/>
      </c>
      <c r="L94" s="31" t="str">
        <f aca="false">IF(C94="","",MONTH(C94))</f>
        <v/>
      </c>
      <c r="M94" s="34"/>
      <c r="N94" s="34"/>
      <c r="O94" s="34"/>
    </row>
    <row r="95" customFormat="false" ht="15" hidden="false" customHeight="false" outlineLevel="0" collapsed="false">
      <c r="B95" s="31" t="str">
        <f aca="false">IF(C95="","",ROW()-5)</f>
        <v/>
      </c>
      <c r="C95" s="32"/>
      <c r="D95" s="33"/>
      <c r="E95" s="33"/>
      <c r="F95" s="34"/>
      <c r="G95" s="33"/>
      <c r="H95" s="34"/>
      <c r="I95" s="35"/>
      <c r="J95" s="36" t="str">
        <f aca="false">IF(OR(C95="",I95=""),"",IF(E95=Pengaturan!$J$19,I95,0))</f>
        <v/>
      </c>
      <c r="K95" s="36" t="str">
        <f aca="false">IF(OR(C95="",I95=""),"",IF(E95=Pengaturan!$J$20,I95,0))</f>
        <v/>
      </c>
      <c r="L95" s="31" t="str">
        <f aca="false">IF(C95="","",MONTH(C95))</f>
        <v/>
      </c>
      <c r="M95" s="34"/>
      <c r="N95" s="34"/>
      <c r="O95" s="34"/>
    </row>
    <row r="96" customFormat="false" ht="15" hidden="false" customHeight="false" outlineLevel="0" collapsed="false">
      <c r="B96" s="31" t="str">
        <f aca="false">IF(C96="","",ROW()-5)</f>
        <v/>
      </c>
      <c r="C96" s="32"/>
      <c r="D96" s="33"/>
      <c r="E96" s="33"/>
      <c r="F96" s="34"/>
      <c r="G96" s="33"/>
      <c r="H96" s="34"/>
      <c r="I96" s="35"/>
      <c r="J96" s="36" t="str">
        <f aca="false">IF(OR(C96="",I96=""),"",IF(E96=Pengaturan!$J$19,I96,0))</f>
        <v/>
      </c>
      <c r="K96" s="36" t="str">
        <f aca="false">IF(OR(C96="",I96=""),"",IF(E96=Pengaturan!$J$20,I96,0))</f>
        <v/>
      </c>
      <c r="L96" s="31" t="str">
        <f aca="false">IF(C96="","",MONTH(C96))</f>
        <v/>
      </c>
      <c r="M96" s="34"/>
      <c r="N96" s="34"/>
      <c r="O96" s="34"/>
    </row>
    <row r="97" customFormat="false" ht="15" hidden="false" customHeight="false" outlineLevel="0" collapsed="false">
      <c r="B97" s="31" t="str">
        <f aca="false">IF(C97="","",ROW()-5)</f>
        <v/>
      </c>
      <c r="C97" s="32"/>
      <c r="D97" s="33"/>
      <c r="E97" s="33"/>
      <c r="F97" s="34"/>
      <c r="G97" s="33"/>
      <c r="H97" s="34"/>
      <c r="I97" s="35"/>
      <c r="J97" s="36" t="str">
        <f aca="false">IF(OR(C97="",I97=""),"",IF(E97=Pengaturan!$J$19,I97,0))</f>
        <v/>
      </c>
      <c r="K97" s="36" t="str">
        <f aca="false">IF(OR(C97="",I97=""),"",IF(E97=Pengaturan!$J$20,I97,0))</f>
        <v/>
      </c>
      <c r="L97" s="31" t="str">
        <f aca="false">IF(C97="","",MONTH(C97))</f>
        <v/>
      </c>
      <c r="M97" s="34"/>
      <c r="N97" s="34"/>
      <c r="O97" s="34"/>
    </row>
    <row r="98" customFormat="false" ht="15" hidden="false" customHeight="false" outlineLevel="0" collapsed="false">
      <c r="B98" s="31" t="str">
        <f aca="false">IF(C98="","",ROW()-5)</f>
        <v/>
      </c>
      <c r="C98" s="32"/>
      <c r="D98" s="33"/>
      <c r="E98" s="33"/>
      <c r="F98" s="34"/>
      <c r="G98" s="33"/>
      <c r="H98" s="34"/>
      <c r="I98" s="35"/>
      <c r="J98" s="36" t="str">
        <f aca="false">IF(OR(C98="",I98=""),"",IF(E98=Pengaturan!$J$19,I98,0))</f>
        <v/>
      </c>
      <c r="K98" s="36" t="str">
        <f aca="false">IF(OR(C98="",I98=""),"",IF(E98=Pengaturan!$J$20,I98,0))</f>
        <v/>
      </c>
      <c r="L98" s="31" t="str">
        <f aca="false">IF(C98="","",MONTH(C98))</f>
        <v/>
      </c>
      <c r="M98" s="34"/>
      <c r="N98" s="34"/>
      <c r="O98" s="34"/>
    </row>
    <row r="99" customFormat="false" ht="15" hidden="false" customHeight="false" outlineLevel="0" collapsed="false">
      <c r="B99" s="31" t="str">
        <f aca="false">IF(C99="","",ROW()-5)</f>
        <v/>
      </c>
      <c r="C99" s="32"/>
      <c r="D99" s="33"/>
      <c r="E99" s="33"/>
      <c r="F99" s="34"/>
      <c r="G99" s="33"/>
      <c r="H99" s="34"/>
      <c r="I99" s="35"/>
      <c r="J99" s="36" t="str">
        <f aca="false">IF(OR(C99="",I99=""),"",IF(E99=Pengaturan!$J$19,I99,0))</f>
        <v/>
      </c>
      <c r="K99" s="36" t="str">
        <f aca="false">IF(OR(C99="",I99=""),"",IF(E99=Pengaturan!$J$20,I99,0))</f>
        <v/>
      </c>
      <c r="L99" s="31" t="str">
        <f aca="false">IF(C99="","",MONTH(C99))</f>
        <v/>
      </c>
      <c r="M99" s="34"/>
      <c r="N99" s="34"/>
      <c r="O99" s="34"/>
    </row>
    <row r="100" customFormat="false" ht="15" hidden="false" customHeight="false" outlineLevel="0" collapsed="false">
      <c r="B100" s="31" t="str">
        <f aca="false">IF(C100="","",ROW()-5)</f>
        <v/>
      </c>
      <c r="C100" s="32"/>
      <c r="D100" s="33"/>
      <c r="E100" s="33"/>
      <c r="F100" s="34"/>
      <c r="G100" s="33"/>
      <c r="H100" s="34"/>
      <c r="I100" s="35"/>
      <c r="J100" s="36" t="str">
        <f aca="false">IF(OR(C100="",I100=""),"",IF(E100=Pengaturan!$J$19,I100,0))</f>
        <v/>
      </c>
      <c r="K100" s="36" t="str">
        <f aca="false">IF(OR(C100="",I100=""),"",IF(E100=Pengaturan!$J$20,I100,0))</f>
        <v/>
      </c>
      <c r="L100" s="31" t="str">
        <f aca="false">IF(C100="","",MONTH(C100))</f>
        <v/>
      </c>
      <c r="M100" s="34"/>
      <c r="N100" s="34"/>
      <c r="O100" s="34"/>
    </row>
    <row r="101" customFormat="false" ht="15" hidden="false" customHeight="false" outlineLevel="0" collapsed="false">
      <c r="B101" s="31" t="str">
        <f aca="false">IF(C101="","",ROW()-5)</f>
        <v/>
      </c>
      <c r="C101" s="32"/>
      <c r="D101" s="33"/>
      <c r="E101" s="33"/>
      <c r="F101" s="34"/>
      <c r="G101" s="33"/>
      <c r="H101" s="34"/>
      <c r="I101" s="35"/>
      <c r="J101" s="36" t="str">
        <f aca="false">IF(OR(C101="",I101=""),"",IF(E101=Pengaturan!$J$19,I101,0))</f>
        <v/>
      </c>
      <c r="K101" s="36" t="str">
        <f aca="false">IF(OR(C101="",I101=""),"",IF(E101=Pengaturan!$J$20,I101,0))</f>
        <v/>
      </c>
      <c r="L101" s="31" t="str">
        <f aca="false">IF(C101="","",MONTH(C101))</f>
        <v/>
      </c>
      <c r="M101" s="34"/>
      <c r="N101" s="34"/>
      <c r="O101" s="34"/>
    </row>
    <row r="102" customFormat="false" ht="15" hidden="false" customHeight="false" outlineLevel="0" collapsed="false">
      <c r="B102" s="31" t="str">
        <f aca="false">IF(C102="","",ROW()-5)</f>
        <v/>
      </c>
      <c r="C102" s="32"/>
      <c r="D102" s="33"/>
      <c r="E102" s="33"/>
      <c r="F102" s="34"/>
      <c r="G102" s="33"/>
      <c r="H102" s="34"/>
      <c r="I102" s="35"/>
      <c r="J102" s="36" t="str">
        <f aca="false">IF(OR(C102="",I102=""),"",IF(E102=Pengaturan!$J$19,I102,0))</f>
        <v/>
      </c>
      <c r="K102" s="36" t="str">
        <f aca="false">IF(OR(C102="",I102=""),"",IF(E102=Pengaturan!$J$20,I102,0))</f>
        <v/>
      </c>
      <c r="L102" s="31" t="str">
        <f aca="false">IF(C102="","",MONTH(C102))</f>
        <v/>
      </c>
      <c r="M102" s="34"/>
      <c r="N102" s="34"/>
      <c r="O102" s="34"/>
    </row>
    <row r="103" customFormat="false" ht="15" hidden="false" customHeight="false" outlineLevel="0" collapsed="false">
      <c r="B103" s="31" t="str">
        <f aca="false">IF(C103="","",ROW()-5)</f>
        <v/>
      </c>
      <c r="C103" s="32"/>
      <c r="D103" s="33"/>
      <c r="E103" s="33"/>
      <c r="F103" s="34"/>
      <c r="G103" s="33"/>
      <c r="H103" s="34"/>
      <c r="I103" s="35"/>
      <c r="J103" s="36" t="str">
        <f aca="false">IF(OR(C103="",I103=""),"",IF(E103=Pengaturan!$J$19,I103,0))</f>
        <v/>
      </c>
      <c r="K103" s="36" t="str">
        <f aca="false">IF(OR(C103="",I103=""),"",IF(E103=Pengaturan!$J$20,I103,0))</f>
        <v/>
      </c>
      <c r="L103" s="31" t="str">
        <f aca="false">IF(C103="","",MONTH(C103))</f>
        <v/>
      </c>
      <c r="M103" s="34"/>
      <c r="N103" s="34"/>
      <c r="O103" s="34"/>
    </row>
    <row r="104" customFormat="false" ht="15" hidden="false" customHeight="false" outlineLevel="0" collapsed="false">
      <c r="B104" s="31" t="str">
        <f aca="false">IF(C104="","",ROW()-5)</f>
        <v/>
      </c>
      <c r="C104" s="32"/>
      <c r="D104" s="33"/>
      <c r="E104" s="33"/>
      <c r="F104" s="34"/>
      <c r="G104" s="33"/>
      <c r="H104" s="34"/>
      <c r="I104" s="35"/>
      <c r="J104" s="36" t="str">
        <f aca="false">IF(OR(C104="",I104=""),"",IF(E104=Pengaturan!$J$19,I104,0))</f>
        <v/>
      </c>
      <c r="K104" s="36" t="str">
        <f aca="false">IF(OR(C104="",I104=""),"",IF(E104=Pengaturan!$J$20,I104,0))</f>
        <v/>
      </c>
      <c r="L104" s="31" t="str">
        <f aca="false">IF(C104="","",MONTH(C104))</f>
        <v/>
      </c>
      <c r="M104" s="34"/>
      <c r="N104" s="34"/>
      <c r="O104" s="34"/>
    </row>
    <row r="105" customFormat="false" ht="15" hidden="false" customHeight="false" outlineLevel="0" collapsed="false">
      <c r="B105" s="31" t="str">
        <f aca="false">IF(C105="","",ROW()-5)</f>
        <v/>
      </c>
      <c r="C105" s="32"/>
      <c r="D105" s="33"/>
      <c r="E105" s="33"/>
      <c r="F105" s="34"/>
      <c r="G105" s="33"/>
      <c r="H105" s="34"/>
      <c r="I105" s="35"/>
      <c r="J105" s="36" t="str">
        <f aca="false">IF(OR(C105="",I105=""),"",IF(E105=Pengaturan!$J$19,I105,0))</f>
        <v/>
      </c>
      <c r="K105" s="36" t="str">
        <f aca="false">IF(OR(C105="",I105=""),"",IF(E105=Pengaturan!$J$20,I105,0))</f>
        <v/>
      </c>
      <c r="L105" s="31" t="str">
        <f aca="false">IF(C105="","",MONTH(C105))</f>
        <v/>
      </c>
      <c r="M105" s="34"/>
      <c r="N105" s="34"/>
      <c r="O105" s="34"/>
    </row>
    <row r="106" customFormat="false" ht="15" hidden="false" customHeight="false" outlineLevel="0" collapsed="false">
      <c r="B106" s="31" t="str">
        <f aca="false">IF(C106="","",ROW()-5)</f>
        <v/>
      </c>
      <c r="C106" s="32"/>
      <c r="D106" s="33"/>
      <c r="E106" s="33"/>
      <c r="F106" s="34"/>
      <c r="G106" s="33"/>
      <c r="H106" s="34"/>
      <c r="I106" s="35"/>
      <c r="J106" s="36" t="str">
        <f aca="false">IF(OR(C106="",I106=""),"",IF(E106=Pengaturan!$J$19,I106,0))</f>
        <v/>
      </c>
      <c r="K106" s="36" t="str">
        <f aca="false">IF(OR(C106="",I106=""),"",IF(E106=Pengaturan!$J$20,I106,0))</f>
        <v/>
      </c>
      <c r="L106" s="31" t="str">
        <f aca="false">IF(C106="","",MONTH(C106))</f>
        <v/>
      </c>
      <c r="M106" s="34"/>
      <c r="N106" s="34"/>
      <c r="O106" s="34"/>
    </row>
    <row r="107" customFormat="false" ht="15" hidden="false" customHeight="false" outlineLevel="0" collapsed="false">
      <c r="B107" s="31" t="str">
        <f aca="false">IF(C107="","",ROW()-5)</f>
        <v/>
      </c>
      <c r="C107" s="32"/>
      <c r="D107" s="33"/>
      <c r="E107" s="33"/>
      <c r="F107" s="34"/>
      <c r="G107" s="33"/>
      <c r="H107" s="34"/>
      <c r="I107" s="35"/>
      <c r="J107" s="36" t="str">
        <f aca="false">IF(OR(C107="",I107=""),"",IF(E107=Pengaturan!$J$19,I107,0))</f>
        <v/>
      </c>
      <c r="K107" s="36" t="str">
        <f aca="false">IF(OR(C107="",I107=""),"",IF(E107=Pengaturan!$J$20,I107,0))</f>
        <v/>
      </c>
      <c r="L107" s="31" t="str">
        <f aca="false">IF(C107="","",MONTH(C107))</f>
        <v/>
      </c>
      <c r="M107" s="34"/>
      <c r="N107" s="34"/>
      <c r="O107" s="34"/>
    </row>
    <row r="108" customFormat="false" ht="15" hidden="false" customHeight="false" outlineLevel="0" collapsed="false">
      <c r="B108" s="31" t="str">
        <f aca="false">IF(C108="","",ROW()-5)</f>
        <v/>
      </c>
      <c r="C108" s="32"/>
      <c r="D108" s="33"/>
      <c r="E108" s="33"/>
      <c r="F108" s="34"/>
      <c r="G108" s="33"/>
      <c r="H108" s="34"/>
      <c r="I108" s="35"/>
      <c r="J108" s="36" t="str">
        <f aca="false">IF(OR(C108="",I108=""),"",IF(E108=Pengaturan!$J$19,I108,0))</f>
        <v/>
      </c>
      <c r="K108" s="36" t="str">
        <f aca="false">IF(OR(C108="",I108=""),"",IF(E108=Pengaturan!$J$20,I108,0))</f>
        <v/>
      </c>
      <c r="L108" s="31" t="str">
        <f aca="false">IF(C108="","",MONTH(C108))</f>
        <v/>
      </c>
      <c r="M108" s="34"/>
      <c r="N108" s="34"/>
      <c r="O108" s="34"/>
    </row>
    <row r="109" customFormat="false" ht="15" hidden="false" customHeight="false" outlineLevel="0" collapsed="false">
      <c r="B109" s="31" t="str">
        <f aca="false">IF(C109="","",ROW()-5)</f>
        <v/>
      </c>
      <c r="C109" s="32"/>
      <c r="D109" s="33"/>
      <c r="E109" s="33"/>
      <c r="F109" s="34"/>
      <c r="G109" s="33"/>
      <c r="H109" s="34"/>
      <c r="I109" s="35"/>
      <c r="J109" s="36" t="str">
        <f aca="false">IF(OR(C109="",I109=""),"",IF(E109=Pengaturan!$J$19,I109,0))</f>
        <v/>
      </c>
      <c r="K109" s="36" t="str">
        <f aca="false">IF(OR(C109="",I109=""),"",IF(E109=Pengaturan!$J$20,I109,0))</f>
        <v/>
      </c>
      <c r="L109" s="31" t="str">
        <f aca="false">IF(C109="","",MONTH(C109))</f>
        <v/>
      </c>
      <c r="M109" s="34"/>
      <c r="N109" s="34"/>
      <c r="O109" s="34"/>
    </row>
    <row r="110" customFormat="false" ht="15" hidden="false" customHeight="false" outlineLevel="0" collapsed="false">
      <c r="B110" s="31" t="str">
        <f aca="false">IF(C110="","",ROW()-5)</f>
        <v/>
      </c>
      <c r="C110" s="32"/>
      <c r="D110" s="33"/>
      <c r="E110" s="33"/>
      <c r="F110" s="34"/>
      <c r="G110" s="33"/>
      <c r="H110" s="34"/>
      <c r="I110" s="35"/>
      <c r="J110" s="36" t="str">
        <f aca="false">IF(OR(C110="",I110=""),"",IF(E110=Pengaturan!$J$19,I110,0))</f>
        <v/>
      </c>
      <c r="K110" s="36" t="str">
        <f aca="false">IF(OR(C110="",I110=""),"",IF(E110=Pengaturan!$J$20,I110,0))</f>
        <v/>
      </c>
      <c r="L110" s="31" t="str">
        <f aca="false">IF(C110="","",MONTH(C110))</f>
        <v/>
      </c>
      <c r="M110" s="34"/>
      <c r="N110" s="34"/>
      <c r="O110" s="34"/>
    </row>
    <row r="111" customFormat="false" ht="15" hidden="false" customHeight="false" outlineLevel="0" collapsed="false">
      <c r="B111" s="31" t="str">
        <f aca="false">IF(C111="","",ROW()-5)</f>
        <v/>
      </c>
      <c r="C111" s="32"/>
      <c r="D111" s="33"/>
      <c r="E111" s="33"/>
      <c r="F111" s="34"/>
      <c r="G111" s="33"/>
      <c r="H111" s="34"/>
      <c r="I111" s="35"/>
      <c r="J111" s="36" t="str">
        <f aca="false">IF(OR(C111="",I111=""),"",IF(E111=Pengaturan!$J$19,I111,0))</f>
        <v/>
      </c>
      <c r="K111" s="36" t="str">
        <f aca="false">IF(OR(C111="",I111=""),"",IF(E111=Pengaturan!$J$20,I111,0))</f>
        <v/>
      </c>
      <c r="L111" s="31" t="str">
        <f aca="false">IF(C111="","",MONTH(C111))</f>
        <v/>
      </c>
      <c r="M111" s="34"/>
      <c r="N111" s="34"/>
      <c r="O111" s="34"/>
    </row>
    <row r="112" customFormat="false" ht="15" hidden="false" customHeight="false" outlineLevel="0" collapsed="false">
      <c r="B112" s="31" t="str">
        <f aca="false">IF(C112="","",ROW()-5)</f>
        <v/>
      </c>
      <c r="C112" s="32"/>
      <c r="D112" s="33"/>
      <c r="E112" s="33"/>
      <c r="F112" s="34"/>
      <c r="G112" s="33"/>
      <c r="H112" s="34"/>
      <c r="I112" s="35"/>
      <c r="J112" s="36" t="str">
        <f aca="false">IF(OR(C112="",I112=""),"",IF(E112=Pengaturan!$J$19,I112,0))</f>
        <v/>
      </c>
      <c r="K112" s="36" t="str">
        <f aca="false">IF(OR(C112="",I112=""),"",IF(E112=Pengaturan!$J$20,I112,0))</f>
        <v/>
      </c>
      <c r="L112" s="31" t="str">
        <f aca="false">IF(C112="","",MONTH(C112))</f>
        <v/>
      </c>
      <c r="M112" s="34"/>
      <c r="N112" s="34"/>
      <c r="O112" s="34"/>
    </row>
    <row r="113" customFormat="false" ht="15" hidden="false" customHeight="false" outlineLevel="0" collapsed="false">
      <c r="B113" s="31" t="str">
        <f aca="false">IF(C113="","",ROW()-5)</f>
        <v/>
      </c>
      <c r="C113" s="32"/>
      <c r="D113" s="33"/>
      <c r="E113" s="33"/>
      <c r="F113" s="34"/>
      <c r="G113" s="33"/>
      <c r="H113" s="34"/>
      <c r="I113" s="35"/>
      <c r="J113" s="36" t="str">
        <f aca="false">IF(OR(C113="",I113=""),"",IF(E113=Pengaturan!$J$19,I113,0))</f>
        <v/>
      </c>
      <c r="K113" s="36" t="str">
        <f aca="false">IF(OR(C113="",I113=""),"",IF(E113=Pengaturan!$J$20,I113,0))</f>
        <v/>
      </c>
      <c r="L113" s="31" t="str">
        <f aca="false">IF(C113="","",MONTH(C113))</f>
        <v/>
      </c>
      <c r="M113" s="34"/>
      <c r="N113" s="34"/>
      <c r="O113" s="34"/>
    </row>
    <row r="114" customFormat="false" ht="15" hidden="false" customHeight="false" outlineLevel="0" collapsed="false">
      <c r="B114" s="31" t="str">
        <f aca="false">IF(C114="","",ROW()-5)</f>
        <v/>
      </c>
      <c r="C114" s="32"/>
      <c r="D114" s="33"/>
      <c r="E114" s="33"/>
      <c r="F114" s="34"/>
      <c r="G114" s="33"/>
      <c r="H114" s="34"/>
      <c r="I114" s="35"/>
      <c r="J114" s="36" t="str">
        <f aca="false">IF(OR(C114="",I114=""),"",IF(E114=Pengaturan!$J$19,I114,0))</f>
        <v/>
      </c>
      <c r="K114" s="36" t="str">
        <f aca="false">IF(OR(C114="",I114=""),"",IF(E114=Pengaturan!$J$20,I114,0))</f>
        <v/>
      </c>
      <c r="L114" s="31" t="str">
        <f aca="false">IF(C114="","",MONTH(C114))</f>
        <v/>
      </c>
      <c r="M114" s="34"/>
      <c r="N114" s="34"/>
      <c r="O114" s="34"/>
    </row>
    <row r="115" customFormat="false" ht="15" hidden="false" customHeight="false" outlineLevel="0" collapsed="false">
      <c r="B115" s="31" t="str">
        <f aca="false">IF(C115="","",ROW()-5)</f>
        <v/>
      </c>
      <c r="C115" s="32"/>
      <c r="D115" s="33"/>
      <c r="E115" s="33"/>
      <c r="F115" s="34"/>
      <c r="G115" s="33"/>
      <c r="H115" s="34"/>
      <c r="I115" s="35"/>
      <c r="J115" s="36" t="str">
        <f aca="false">IF(OR(C115="",I115=""),"",IF(E115=Pengaturan!$J$19,I115,0))</f>
        <v/>
      </c>
      <c r="K115" s="36" t="str">
        <f aca="false">IF(OR(C115="",I115=""),"",IF(E115=Pengaturan!$J$20,I115,0))</f>
        <v/>
      </c>
      <c r="L115" s="31" t="str">
        <f aca="false">IF(C115="","",MONTH(C115))</f>
        <v/>
      </c>
      <c r="M115" s="34"/>
      <c r="N115" s="34"/>
      <c r="O115" s="34"/>
    </row>
    <row r="116" customFormat="false" ht="15" hidden="false" customHeight="false" outlineLevel="0" collapsed="false">
      <c r="B116" s="31" t="str">
        <f aca="false">IF(C116="","",ROW()-5)</f>
        <v/>
      </c>
      <c r="C116" s="32"/>
      <c r="D116" s="33"/>
      <c r="E116" s="33"/>
      <c r="F116" s="34"/>
      <c r="G116" s="33"/>
      <c r="H116" s="34"/>
      <c r="I116" s="35"/>
      <c r="J116" s="36" t="str">
        <f aca="false">IF(OR(C116="",I116=""),"",IF(E116=Pengaturan!$J$19,I116,0))</f>
        <v/>
      </c>
      <c r="K116" s="36" t="str">
        <f aca="false">IF(OR(C116="",I116=""),"",IF(E116=Pengaturan!$J$20,I116,0))</f>
        <v/>
      </c>
      <c r="L116" s="31" t="str">
        <f aca="false">IF(C116="","",MONTH(C116))</f>
        <v/>
      </c>
      <c r="M116" s="34"/>
      <c r="N116" s="34"/>
      <c r="O116" s="34"/>
    </row>
    <row r="117" customFormat="false" ht="15" hidden="false" customHeight="false" outlineLevel="0" collapsed="false">
      <c r="B117" s="31" t="str">
        <f aca="false">IF(C117="","",ROW()-5)</f>
        <v/>
      </c>
      <c r="C117" s="32"/>
      <c r="D117" s="33"/>
      <c r="E117" s="33"/>
      <c r="F117" s="34"/>
      <c r="G117" s="33"/>
      <c r="H117" s="34"/>
      <c r="I117" s="35"/>
      <c r="J117" s="36" t="str">
        <f aca="false">IF(OR(C117="",I117=""),"",IF(E117=Pengaturan!$J$19,I117,0))</f>
        <v/>
      </c>
      <c r="K117" s="36" t="str">
        <f aca="false">IF(OR(C117="",I117=""),"",IF(E117=Pengaturan!$J$20,I117,0))</f>
        <v/>
      </c>
      <c r="L117" s="31" t="str">
        <f aca="false">IF(C117="","",MONTH(C117))</f>
        <v/>
      </c>
      <c r="M117" s="34"/>
      <c r="N117" s="34"/>
      <c r="O117" s="34"/>
    </row>
    <row r="118" customFormat="false" ht="15" hidden="false" customHeight="false" outlineLevel="0" collapsed="false">
      <c r="B118" s="31" t="str">
        <f aca="false">IF(C118="","",ROW()-5)</f>
        <v/>
      </c>
      <c r="C118" s="32"/>
      <c r="D118" s="33"/>
      <c r="E118" s="33"/>
      <c r="F118" s="34"/>
      <c r="G118" s="33"/>
      <c r="H118" s="34"/>
      <c r="I118" s="35"/>
      <c r="J118" s="36" t="str">
        <f aca="false">IF(OR(C118="",I118=""),"",IF(E118=Pengaturan!$J$19,I118,0))</f>
        <v/>
      </c>
      <c r="K118" s="36" t="str">
        <f aca="false">IF(OR(C118="",I118=""),"",IF(E118=Pengaturan!$J$20,I118,0))</f>
        <v/>
      </c>
      <c r="L118" s="31" t="str">
        <f aca="false">IF(C118="","",MONTH(C118))</f>
        <v/>
      </c>
      <c r="M118" s="34"/>
      <c r="N118" s="34"/>
      <c r="O118" s="34"/>
    </row>
    <row r="119" customFormat="false" ht="15" hidden="false" customHeight="false" outlineLevel="0" collapsed="false">
      <c r="B119" s="31" t="str">
        <f aca="false">IF(C119="","",ROW()-5)</f>
        <v/>
      </c>
      <c r="C119" s="32"/>
      <c r="D119" s="33"/>
      <c r="E119" s="33"/>
      <c r="F119" s="34"/>
      <c r="G119" s="33"/>
      <c r="H119" s="34"/>
      <c r="I119" s="35"/>
      <c r="J119" s="36" t="str">
        <f aca="false">IF(OR(C119="",I119=""),"",IF(E119=Pengaturan!$J$19,I119,0))</f>
        <v/>
      </c>
      <c r="K119" s="36" t="str">
        <f aca="false">IF(OR(C119="",I119=""),"",IF(E119=Pengaturan!$J$20,I119,0))</f>
        <v/>
      </c>
      <c r="L119" s="31" t="str">
        <f aca="false">IF(C119="","",MONTH(C119))</f>
        <v/>
      </c>
      <c r="M119" s="34"/>
      <c r="N119" s="34"/>
      <c r="O119" s="34"/>
    </row>
    <row r="120" customFormat="false" ht="15" hidden="false" customHeight="false" outlineLevel="0" collapsed="false">
      <c r="B120" s="31" t="str">
        <f aca="false">IF(C120="","",ROW()-5)</f>
        <v/>
      </c>
      <c r="C120" s="32"/>
      <c r="D120" s="33"/>
      <c r="E120" s="33"/>
      <c r="F120" s="34"/>
      <c r="G120" s="33"/>
      <c r="H120" s="34"/>
      <c r="I120" s="35"/>
      <c r="J120" s="36" t="str">
        <f aca="false">IF(OR(C120="",I120=""),"",IF(E120=Pengaturan!$J$19,I120,0))</f>
        <v/>
      </c>
      <c r="K120" s="36" t="str">
        <f aca="false">IF(OR(C120="",I120=""),"",IF(E120=Pengaturan!$J$20,I120,0))</f>
        <v/>
      </c>
      <c r="L120" s="31" t="str">
        <f aca="false">IF(C120="","",MONTH(C120))</f>
        <v/>
      </c>
      <c r="M120" s="34"/>
      <c r="N120" s="34"/>
      <c r="O120" s="34"/>
    </row>
    <row r="121" customFormat="false" ht="15" hidden="false" customHeight="false" outlineLevel="0" collapsed="false">
      <c r="B121" s="31" t="str">
        <f aca="false">IF(C121="","",ROW()-5)</f>
        <v/>
      </c>
      <c r="C121" s="32"/>
      <c r="D121" s="33"/>
      <c r="E121" s="33"/>
      <c r="F121" s="34"/>
      <c r="G121" s="33"/>
      <c r="H121" s="34"/>
      <c r="I121" s="35"/>
      <c r="J121" s="36" t="str">
        <f aca="false">IF(OR(C121="",I121=""),"",IF(E121=Pengaturan!$J$19,I121,0))</f>
        <v/>
      </c>
      <c r="K121" s="36" t="str">
        <f aca="false">IF(OR(C121="",I121=""),"",IF(E121=Pengaturan!$J$20,I121,0))</f>
        <v/>
      </c>
      <c r="L121" s="31" t="str">
        <f aca="false">IF(C121="","",MONTH(C121))</f>
        <v/>
      </c>
      <c r="M121" s="34"/>
      <c r="N121" s="34"/>
      <c r="O121" s="34"/>
    </row>
    <row r="122" customFormat="false" ht="15" hidden="false" customHeight="false" outlineLevel="0" collapsed="false">
      <c r="B122" s="31" t="str">
        <f aca="false">IF(C122="","",ROW()-5)</f>
        <v/>
      </c>
      <c r="C122" s="32"/>
      <c r="D122" s="33"/>
      <c r="E122" s="33"/>
      <c r="F122" s="34"/>
      <c r="G122" s="33"/>
      <c r="H122" s="34"/>
      <c r="I122" s="35"/>
      <c r="J122" s="36" t="str">
        <f aca="false">IF(OR(C122="",I122=""),"",IF(E122=Pengaturan!$J$19,I122,0))</f>
        <v/>
      </c>
      <c r="K122" s="36" t="str">
        <f aca="false">IF(OR(C122="",I122=""),"",IF(E122=Pengaturan!$J$20,I122,0))</f>
        <v/>
      </c>
      <c r="L122" s="31" t="str">
        <f aca="false">IF(C122="","",MONTH(C122))</f>
        <v/>
      </c>
      <c r="M122" s="34"/>
      <c r="N122" s="34"/>
      <c r="O122" s="34"/>
    </row>
    <row r="123" customFormat="false" ht="15" hidden="false" customHeight="false" outlineLevel="0" collapsed="false">
      <c r="B123" s="31" t="str">
        <f aca="false">IF(C123="","",ROW()-5)</f>
        <v/>
      </c>
      <c r="C123" s="32"/>
      <c r="D123" s="33"/>
      <c r="E123" s="33"/>
      <c r="F123" s="34"/>
      <c r="G123" s="33"/>
      <c r="H123" s="34"/>
      <c r="I123" s="35"/>
      <c r="J123" s="36" t="str">
        <f aca="false">IF(OR(C123="",I123=""),"",IF(E123=Pengaturan!$J$19,I123,0))</f>
        <v/>
      </c>
      <c r="K123" s="36" t="str">
        <f aca="false">IF(OR(C123="",I123=""),"",IF(E123=Pengaturan!$J$20,I123,0))</f>
        <v/>
      </c>
      <c r="L123" s="31" t="str">
        <f aca="false">IF(C123="","",MONTH(C123))</f>
        <v/>
      </c>
      <c r="M123" s="34"/>
      <c r="N123" s="34"/>
      <c r="O123" s="34"/>
    </row>
    <row r="124" customFormat="false" ht="15" hidden="false" customHeight="false" outlineLevel="0" collapsed="false">
      <c r="B124" s="31" t="str">
        <f aca="false">IF(C124="","",ROW()-5)</f>
        <v/>
      </c>
      <c r="C124" s="32"/>
      <c r="D124" s="33"/>
      <c r="E124" s="33"/>
      <c r="F124" s="34"/>
      <c r="G124" s="33"/>
      <c r="H124" s="34"/>
      <c r="I124" s="35"/>
      <c r="J124" s="36" t="str">
        <f aca="false">IF(OR(C124="",I124=""),"",IF(E124=Pengaturan!$J$19,I124,0))</f>
        <v/>
      </c>
      <c r="K124" s="36" t="str">
        <f aca="false">IF(OR(C124="",I124=""),"",IF(E124=Pengaturan!$J$20,I124,0))</f>
        <v/>
      </c>
      <c r="L124" s="31" t="str">
        <f aca="false">IF(C124="","",MONTH(C124))</f>
        <v/>
      </c>
      <c r="M124" s="34"/>
      <c r="N124" s="34"/>
      <c r="O124" s="34"/>
    </row>
    <row r="125" customFormat="false" ht="15" hidden="false" customHeight="false" outlineLevel="0" collapsed="false">
      <c r="B125" s="31" t="str">
        <f aca="false">IF(C125="","",ROW()-5)</f>
        <v/>
      </c>
      <c r="C125" s="32"/>
      <c r="D125" s="33"/>
      <c r="E125" s="33"/>
      <c r="F125" s="34"/>
      <c r="G125" s="33"/>
      <c r="H125" s="34"/>
      <c r="I125" s="35"/>
      <c r="J125" s="36" t="str">
        <f aca="false">IF(OR(C125="",I125=""),"",IF(E125=Pengaturan!$J$19,I125,0))</f>
        <v/>
      </c>
      <c r="K125" s="36" t="str">
        <f aca="false">IF(OR(C125="",I125=""),"",IF(E125=Pengaturan!$J$20,I125,0))</f>
        <v/>
      </c>
      <c r="L125" s="31" t="str">
        <f aca="false">IF(C125="","",MONTH(C125))</f>
        <v/>
      </c>
      <c r="M125" s="34"/>
      <c r="N125" s="34"/>
      <c r="O125" s="34"/>
    </row>
    <row r="126" customFormat="false" ht="15" hidden="false" customHeight="false" outlineLevel="0" collapsed="false">
      <c r="B126" s="31" t="str">
        <f aca="false">IF(C126="","",ROW()-5)</f>
        <v/>
      </c>
      <c r="C126" s="32"/>
      <c r="D126" s="33"/>
      <c r="E126" s="33"/>
      <c r="F126" s="34"/>
      <c r="G126" s="33"/>
      <c r="H126" s="34"/>
      <c r="I126" s="35"/>
      <c r="J126" s="36" t="str">
        <f aca="false">IF(OR(C126="",I126=""),"",IF(E126=Pengaturan!$J$19,I126,0))</f>
        <v/>
      </c>
      <c r="K126" s="36" t="str">
        <f aca="false">IF(OR(C126="",I126=""),"",IF(E126=Pengaturan!$J$20,I126,0))</f>
        <v/>
      </c>
      <c r="L126" s="31" t="str">
        <f aca="false">IF(C126="","",MONTH(C126))</f>
        <v/>
      </c>
      <c r="M126" s="34"/>
      <c r="N126" s="34"/>
      <c r="O126" s="34"/>
    </row>
    <row r="127" customFormat="false" ht="15" hidden="false" customHeight="false" outlineLevel="0" collapsed="false">
      <c r="B127" s="31" t="str">
        <f aca="false">IF(C127="","",ROW()-5)</f>
        <v/>
      </c>
      <c r="C127" s="32"/>
      <c r="D127" s="33"/>
      <c r="E127" s="33"/>
      <c r="F127" s="34"/>
      <c r="G127" s="33"/>
      <c r="H127" s="34"/>
      <c r="I127" s="35"/>
      <c r="J127" s="36" t="str">
        <f aca="false">IF(OR(C127="",I127=""),"",IF(E127=Pengaturan!$J$19,I127,0))</f>
        <v/>
      </c>
      <c r="K127" s="36" t="str">
        <f aca="false">IF(OR(C127="",I127=""),"",IF(E127=Pengaturan!$J$20,I127,0))</f>
        <v/>
      </c>
      <c r="L127" s="31" t="str">
        <f aca="false">IF(C127="","",MONTH(C127))</f>
        <v/>
      </c>
      <c r="M127" s="34"/>
      <c r="N127" s="34"/>
      <c r="O127" s="34"/>
    </row>
    <row r="128" customFormat="false" ht="15" hidden="false" customHeight="false" outlineLevel="0" collapsed="false">
      <c r="B128" s="31" t="str">
        <f aca="false">IF(C128="","",ROW()-5)</f>
        <v/>
      </c>
      <c r="C128" s="32"/>
      <c r="D128" s="33"/>
      <c r="E128" s="33"/>
      <c r="F128" s="34"/>
      <c r="G128" s="33"/>
      <c r="H128" s="34"/>
      <c r="I128" s="35"/>
      <c r="J128" s="36" t="str">
        <f aca="false">IF(OR(C128="",I128=""),"",IF(E128=Pengaturan!$J$19,I128,0))</f>
        <v/>
      </c>
      <c r="K128" s="36" t="str">
        <f aca="false">IF(OR(C128="",I128=""),"",IF(E128=Pengaturan!$J$20,I128,0))</f>
        <v/>
      </c>
      <c r="L128" s="31" t="str">
        <f aca="false">IF(C128="","",MONTH(C128))</f>
        <v/>
      </c>
      <c r="M128" s="34"/>
      <c r="N128" s="34"/>
      <c r="O128" s="34"/>
    </row>
    <row r="129" customFormat="false" ht="15" hidden="false" customHeight="false" outlineLevel="0" collapsed="false">
      <c r="B129" s="31" t="str">
        <f aca="false">IF(C129="","",ROW()-5)</f>
        <v/>
      </c>
      <c r="C129" s="32"/>
      <c r="D129" s="33"/>
      <c r="E129" s="33"/>
      <c r="F129" s="34"/>
      <c r="G129" s="33"/>
      <c r="H129" s="34"/>
      <c r="I129" s="35"/>
      <c r="J129" s="36" t="str">
        <f aca="false">IF(OR(C129="",I129=""),"",IF(E129=Pengaturan!$J$19,I129,0))</f>
        <v/>
      </c>
      <c r="K129" s="36" t="str">
        <f aca="false">IF(OR(C129="",I129=""),"",IF(E129=Pengaturan!$J$20,I129,0))</f>
        <v/>
      </c>
      <c r="L129" s="31" t="str">
        <f aca="false">IF(C129="","",MONTH(C129))</f>
        <v/>
      </c>
      <c r="M129" s="34"/>
      <c r="N129" s="34"/>
      <c r="O129" s="34"/>
    </row>
    <row r="130" customFormat="false" ht="15" hidden="false" customHeight="false" outlineLevel="0" collapsed="false">
      <c r="B130" s="31" t="str">
        <f aca="false">IF(C130="","",ROW()-5)</f>
        <v/>
      </c>
      <c r="C130" s="32"/>
      <c r="D130" s="33"/>
      <c r="E130" s="33"/>
      <c r="F130" s="34"/>
      <c r="G130" s="33"/>
      <c r="H130" s="34"/>
      <c r="I130" s="35"/>
      <c r="J130" s="36" t="str">
        <f aca="false">IF(OR(C130="",I130=""),"",IF(E130=Pengaturan!$J$19,I130,0))</f>
        <v/>
      </c>
      <c r="K130" s="36" t="str">
        <f aca="false">IF(OR(C130="",I130=""),"",IF(E130=Pengaturan!$J$20,I130,0))</f>
        <v/>
      </c>
      <c r="L130" s="31" t="str">
        <f aca="false">IF(C130="","",MONTH(C130))</f>
        <v/>
      </c>
      <c r="M130" s="34"/>
      <c r="N130" s="34"/>
      <c r="O130" s="34"/>
    </row>
    <row r="131" customFormat="false" ht="15" hidden="false" customHeight="false" outlineLevel="0" collapsed="false">
      <c r="B131" s="31" t="str">
        <f aca="false">IF(C131="","",ROW()-5)</f>
        <v/>
      </c>
      <c r="C131" s="32"/>
      <c r="D131" s="33"/>
      <c r="E131" s="33"/>
      <c r="F131" s="34"/>
      <c r="G131" s="33"/>
      <c r="H131" s="34"/>
      <c r="I131" s="35"/>
      <c r="J131" s="36" t="str">
        <f aca="false">IF(OR(C131="",I131=""),"",IF(E131=Pengaturan!$J$19,I131,0))</f>
        <v/>
      </c>
      <c r="K131" s="36" t="str">
        <f aca="false">IF(OR(C131="",I131=""),"",IF(E131=Pengaturan!$J$20,I131,0))</f>
        <v/>
      </c>
      <c r="L131" s="31" t="str">
        <f aca="false">IF(C131="","",MONTH(C131))</f>
        <v/>
      </c>
      <c r="M131" s="34"/>
      <c r="N131" s="34"/>
      <c r="O131" s="34"/>
    </row>
    <row r="132" customFormat="false" ht="15" hidden="false" customHeight="false" outlineLevel="0" collapsed="false">
      <c r="B132" s="31" t="str">
        <f aca="false">IF(C132="","",ROW()-5)</f>
        <v/>
      </c>
      <c r="C132" s="32"/>
      <c r="D132" s="33"/>
      <c r="E132" s="33"/>
      <c r="F132" s="34"/>
      <c r="G132" s="33"/>
      <c r="H132" s="34"/>
      <c r="I132" s="35"/>
      <c r="J132" s="36" t="str">
        <f aca="false">IF(OR(C132="",I132=""),"",IF(E132=Pengaturan!$J$19,I132,0))</f>
        <v/>
      </c>
      <c r="K132" s="36" t="str">
        <f aca="false">IF(OR(C132="",I132=""),"",IF(E132=Pengaturan!$J$20,I132,0))</f>
        <v/>
      </c>
      <c r="L132" s="31" t="str">
        <f aca="false">IF(C132="","",MONTH(C132))</f>
        <v/>
      </c>
      <c r="M132" s="34"/>
      <c r="N132" s="34"/>
      <c r="O132" s="34"/>
    </row>
    <row r="133" customFormat="false" ht="15" hidden="false" customHeight="false" outlineLevel="0" collapsed="false">
      <c r="B133" s="31" t="str">
        <f aca="false">IF(C133="","",ROW()-5)</f>
        <v/>
      </c>
      <c r="C133" s="32"/>
      <c r="D133" s="33"/>
      <c r="E133" s="33"/>
      <c r="F133" s="34"/>
      <c r="G133" s="33"/>
      <c r="H133" s="34"/>
      <c r="I133" s="35"/>
      <c r="J133" s="36" t="str">
        <f aca="false">IF(OR(C133="",I133=""),"",IF(E133=Pengaturan!$J$19,I133,0))</f>
        <v/>
      </c>
      <c r="K133" s="36" t="str">
        <f aca="false">IF(OR(C133="",I133=""),"",IF(E133=Pengaturan!$J$20,I133,0))</f>
        <v/>
      </c>
      <c r="L133" s="31" t="str">
        <f aca="false">IF(C133="","",MONTH(C133))</f>
        <v/>
      </c>
      <c r="M133" s="34"/>
      <c r="N133" s="34"/>
      <c r="O133" s="34"/>
    </row>
    <row r="134" customFormat="false" ht="15" hidden="false" customHeight="false" outlineLevel="0" collapsed="false">
      <c r="B134" s="31" t="str">
        <f aca="false">IF(C134="","",ROW()-5)</f>
        <v/>
      </c>
      <c r="C134" s="32"/>
      <c r="D134" s="33"/>
      <c r="E134" s="33"/>
      <c r="F134" s="34"/>
      <c r="G134" s="33"/>
      <c r="H134" s="34"/>
      <c r="I134" s="35"/>
      <c r="J134" s="36" t="str">
        <f aca="false">IF(OR(C134="",I134=""),"",IF(E134=Pengaturan!$J$19,I134,0))</f>
        <v/>
      </c>
      <c r="K134" s="36" t="str">
        <f aca="false">IF(OR(C134="",I134=""),"",IF(E134=Pengaturan!$J$20,I134,0))</f>
        <v/>
      </c>
      <c r="L134" s="31" t="str">
        <f aca="false">IF(C134="","",MONTH(C134))</f>
        <v/>
      </c>
      <c r="M134" s="34"/>
      <c r="N134" s="34"/>
      <c r="O134" s="34"/>
    </row>
    <row r="135" customFormat="false" ht="15" hidden="false" customHeight="false" outlineLevel="0" collapsed="false">
      <c r="B135" s="31" t="str">
        <f aca="false">IF(C135="","",ROW()-5)</f>
        <v/>
      </c>
      <c r="C135" s="32"/>
      <c r="D135" s="33"/>
      <c r="E135" s="33"/>
      <c r="F135" s="34"/>
      <c r="G135" s="33"/>
      <c r="H135" s="34"/>
      <c r="I135" s="35"/>
      <c r="J135" s="36" t="str">
        <f aca="false">IF(OR(C135="",I135=""),"",IF(E135=Pengaturan!$J$19,I135,0))</f>
        <v/>
      </c>
      <c r="K135" s="36" t="str">
        <f aca="false">IF(OR(C135="",I135=""),"",IF(E135=Pengaturan!$J$20,I135,0))</f>
        <v/>
      </c>
      <c r="L135" s="31" t="str">
        <f aca="false">IF(C135="","",MONTH(C135))</f>
        <v/>
      </c>
      <c r="M135" s="34"/>
      <c r="N135" s="34"/>
      <c r="O135" s="34"/>
    </row>
    <row r="136" customFormat="false" ht="15" hidden="false" customHeight="false" outlineLevel="0" collapsed="false">
      <c r="B136" s="31" t="str">
        <f aca="false">IF(C136="","",ROW()-5)</f>
        <v/>
      </c>
      <c r="C136" s="32"/>
      <c r="D136" s="33"/>
      <c r="E136" s="33"/>
      <c r="F136" s="34"/>
      <c r="G136" s="33"/>
      <c r="H136" s="34"/>
      <c r="I136" s="35"/>
      <c r="J136" s="36" t="str">
        <f aca="false">IF(OR(C136="",I136=""),"",IF(E136=Pengaturan!$J$19,I136,0))</f>
        <v/>
      </c>
      <c r="K136" s="36" t="str">
        <f aca="false">IF(OR(C136="",I136=""),"",IF(E136=Pengaturan!$J$20,I136,0))</f>
        <v/>
      </c>
      <c r="L136" s="31" t="str">
        <f aca="false">IF(C136="","",MONTH(C136))</f>
        <v/>
      </c>
      <c r="M136" s="34"/>
      <c r="N136" s="34"/>
      <c r="O136" s="34"/>
    </row>
    <row r="137" customFormat="false" ht="15" hidden="false" customHeight="false" outlineLevel="0" collapsed="false">
      <c r="B137" s="31" t="str">
        <f aca="false">IF(C137="","",ROW()-5)</f>
        <v/>
      </c>
      <c r="C137" s="32"/>
      <c r="D137" s="33"/>
      <c r="E137" s="33"/>
      <c r="F137" s="34"/>
      <c r="G137" s="33"/>
      <c r="H137" s="34"/>
      <c r="I137" s="35"/>
      <c r="J137" s="36" t="str">
        <f aca="false">IF(OR(C137="",I137=""),"",IF(E137=Pengaturan!$J$19,I137,0))</f>
        <v/>
      </c>
      <c r="K137" s="36" t="str">
        <f aca="false">IF(OR(C137="",I137=""),"",IF(E137=Pengaturan!$J$20,I137,0))</f>
        <v/>
      </c>
      <c r="L137" s="31" t="str">
        <f aca="false">IF(C137="","",MONTH(C137))</f>
        <v/>
      </c>
      <c r="M137" s="34"/>
      <c r="N137" s="34"/>
      <c r="O137" s="34"/>
    </row>
    <row r="138" customFormat="false" ht="15" hidden="false" customHeight="false" outlineLevel="0" collapsed="false">
      <c r="B138" s="31" t="str">
        <f aca="false">IF(C138="","",ROW()-5)</f>
        <v/>
      </c>
      <c r="C138" s="32"/>
      <c r="D138" s="33"/>
      <c r="E138" s="33"/>
      <c r="F138" s="34"/>
      <c r="G138" s="33"/>
      <c r="H138" s="34"/>
      <c r="I138" s="35"/>
      <c r="J138" s="36" t="str">
        <f aca="false">IF(OR(C138="",I138=""),"",IF(E138=Pengaturan!$J$19,I138,0))</f>
        <v/>
      </c>
      <c r="K138" s="36" t="str">
        <f aca="false">IF(OR(C138="",I138=""),"",IF(E138=Pengaturan!$J$20,I138,0))</f>
        <v/>
      </c>
      <c r="L138" s="31" t="str">
        <f aca="false">IF(C138="","",MONTH(C138))</f>
        <v/>
      </c>
      <c r="M138" s="34"/>
      <c r="N138" s="34"/>
      <c r="O138" s="34"/>
    </row>
    <row r="139" customFormat="false" ht="15" hidden="false" customHeight="false" outlineLevel="0" collapsed="false">
      <c r="B139" s="31" t="str">
        <f aca="false">IF(C139="","",ROW()-5)</f>
        <v/>
      </c>
      <c r="C139" s="32"/>
      <c r="D139" s="33"/>
      <c r="E139" s="33"/>
      <c r="F139" s="34"/>
      <c r="G139" s="33"/>
      <c r="H139" s="34"/>
      <c r="I139" s="35"/>
      <c r="J139" s="36" t="str">
        <f aca="false">IF(OR(C139="",I139=""),"",IF(E139=Pengaturan!$J$19,I139,0))</f>
        <v/>
      </c>
      <c r="K139" s="36" t="str">
        <f aca="false">IF(OR(C139="",I139=""),"",IF(E139=Pengaturan!$J$20,I139,0))</f>
        <v/>
      </c>
      <c r="L139" s="31" t="str">
        <f aca="false">IF(C139="","",MONTH(C139))</f>
        <v/>
      </c>
      <c r="M139" s="34"/>
      <c r="N139" s="34"/>
      <c r="O139" s="34"/>
    </row>
    <row r="140" customFormat="false" ht="15" hidden="false" customHeight="false" outlineLevel="0" collapsed="false">
      <c r="B140" s="31" t="str">
        <f aca="false">IF(C140="","",ROW()-5)</f>
        <v/>
      </c>
      <c r="C140" s="32"/>
      <c r="D140" s="33"/>
      <c r="E140" s="33"/>
      <c r="F140" s="34"/>
      <c r="G140" s="33"/>
      <c r="H140" s="34"/>
      <c r="I140" s="35"/>
      <c r="J140" s="36" t="str">
        <f aca="false">IF(OR(C140="",I140=""),"",IF(E140=Pengaturan!$J$19,I140,0))</f>
        <v/>
      </c>
      <c r="K140" s="36" t="str">
        <f aca="false">IF(OR(C140="",I140=""),"",IF(E140=Pengaturan!$J$20,I140,0))</f>
        <v/>
      </c>
      <c r="L140" s="31" t="str">
        <f aca="false">IF(C140="","",MONTH(C140))</f>
        <v/>
      </c>
      <c r="M140" s="34"/>
      <c r="N140" s="34"/>
      <c r="O140" s="34"/>
    </row>
    <row r="141" customFormat="false" ht="15" hidden="false" customHeight="false" outlineLevel="0" collapsed="false">
      <c r="B141" s="31" t="str">
        <f aca="false">IF(C141="","",ROW()-5)</f>
        <v/>
      </c>
      <c r="C141" s="32"/>
      <c r="D141" s="33"/>
      <c r="E141" s="33"/>
      <c r="F141" s="34"/>
      <c r="G141" s="33"/>
      <c r="H141" s="34"/>
      <c r="I141" s="35"/>
      <c r="J141" s="36" t="str">
        <f aca="false">IF(OR(C141="",I141=""),"",IF(E141=Pengaturan!$J$19,I141,0))</f>
        <v/>
      </c>
      <c r="K141" s="36" t="str">
        <f aca="false">IF(OR(C141="",I141=""),"",IF(E141=Pengaturan!$J$20,I141,0))</f>
        <v/>
      </c>
      <c r="L141" s="31" t="str">
        <f aca="false">IF(C141="","",MONTH(C141))</f>
        <v/>
      </c>
      <c r="M141" s="34"/>
      <c r="N141" s="34"/>
      <c r="O141" s="34"/>
    </row>
    <row r="142" customFormat="false" ht="15" hidden="false" customHeight="false" outlineLevel="0" collapsed="false">
      <c r="B142" s="31" t="str">
        <f aca="false">IF(C142="","",ROW()-5)</f>
        <v/>
      </c>
      <c r="C142" s="32"/>
      <c r="D142" s="33"/>
      <c r="E142" s="33"/>
      <c r="F142" s="34"/>
      <c r="G142" s="33"/>
      <c r="H142" s="34"/>
      <c r="I142" s="35"/>
      <c r="J142" s="36" t="str">
        <f aca="false">IF(OR(C142="",I142=""),"",IF(E142=Pengaturan!$J$19,I142,0))</f>
        <v/>
      </c>
      <c r="K142" s="36" t="str">
        <f aca="false">IF(OR(C142="",I142=""),"",IF(E142=Pengaturan!$J$20,I142,0))</f>
        <v/>
      </c>
      <c r="L142" s="31" t="str">
        <f aca="false">IF(C142="","",MONTH(C142))</f>
        <v/>
      </c>
      <c r="M142" s="34"/>
      <c r="N142" s="34"/>
      <c r="O142" s="34"/>
    </row>
    <row r="143" customFormat="false" ht="15" hidden="false" customHeight="false" outlineLevel="0" collapsed="false">
      <c r="B143" s="31" t="str">
        <f aca="false">IF(C143="","",ROW()-5)</f>
        <v/>
      </c>
      <c r="C143" s="32"/>
      <c r="D143" s="33"/>
      <c r="E143" s="33"/>
      <c r="F143" s="34"/>
      <c r="G143" s="33"/>
      <c r="H143" s="34"/>
      <c r="I143" s="35"/>
      <c r="J143" s="36" t="str">
        <f aca="false">IF(OR(C143="",I143=""),"",IF(E143=Pengaturan!$J$19,I143,0))</f>
        <v/>
      </c>
      <c r="K143" s="36" t="str">
        <f aca="false">IF(OR(C143="",I143=""),"",IF(E143=Pengaturan!$J$20,I143,0))</f>
        <v/>
      </c>
      <c r="L143" s="31" t="str">
        <f aca="false">IF(C143="","",MONTH(C143))</f>
        <v/>
      </c>
      <c r="M143" s="34"/>
      <c r="N143" s="34"/>
      <c r="O143" s="34"/>
    </row>
    <row r="144" customFormat="false" ht="15" hidden="false" customHeight="false" outlineLevel="0" collapsed="false">
      <c r="B144" s="31" t="str">
        <f aca="false">IF(C144="","",ROW()-5)</f>
        <v/>
      </c>
      <c r="C144" s="32"/>
      <c r="D144" s="33"/>
      <c r="E144" s="33"/>
      <c r="F144" s="34"/>
      <c r="G144" s="33"/>
      <c r="H144" s="34"/>
      <c r="I144" s="35"/>
      <c r="J144" s="36" t="str">
        <f aca="false">IF(OR(C144="",I144=""),"",IF(E144=Pengaturan!$J$19,I144,0))</f>
        <v/>
      </c>
      <c r="K144" s="36" t="str">
        <f aca="false">IF(OR(C144="",I144=""),"",IF(E144=Pengaturan!$J$20,I144,0))</f>
        <v/>
      </c>
      <c r="L144" s="31" t="str">
        <f aca="false">IF(C144="","",MONTH(C144))</f>
        <v/>
      </c>
      <c r="M144" s="34"/>
      <c r="N144" s="34"/>
      <c r="O144" s="34"/>
    </row>
    <row r="145" customFormat="false" ht="15" hidden="false" customHeight="false" outlineLevel="0" collapsed="false">
      <c r="B145" s="31" t="str">
        <f aca="false">IF(C145="","",ROW()-5)</f>
        <v/>
      </c>
      <c r="C145" s="32"/>
      <c r="D145" s="33"/>
      <c r="E145" s="33"/>
      <c r="F145" s="34"/>
      <c r="G145" s="33"/>
      <c r="H145" s="34"/>
      <c r="I145" s="35"/>
      <c r="J145" s="36" t="str">
        <f aca="false">IF(OR(C145="",I145=""),"",IF(E145=Pengaturan!$J$19,I145,0))</f>
        <v/>
      </c>
      <c r="K145" s="36" t="str">
        <f aca="false">IF(OR(C145="",I145=""),"",IF(E145=Pengaturan!$J$20,I145,0))</f>
        <v/>
      </c>
      <c r="L145" s="31" t="str">
        <f aca="false">IF(C145="","",MONTH(C145))</f>
        <v/>
      </c>
      <c r="M145" s="34"/>
      <c r="N145" s="34"/>
      <c r="O145" s="34"/>
    </row>
    <row r="146" customFormat="false" ht="15" hidden="false" customHeight="false" outlineLevel="0" collapsed="false">
      <c r="B146" s="31" t="str">
        <f aca="false">IF(C146="","",ROW()-5)</f>
        <v/>
      </c>
      <c r="C146" s="32"/>
      <c r="D146" s="33"/>
      <c r="E146" s="33"/>
      <c r="F146" s="34"/>
      <c r="G146" s="33"/>
      <c r="H146" s="34"/>
      <c r="I146" s="35"/>
      <c r="J146" s="36" t="str">
        <f aca="false">IF(OR(C146="",I146=""),"",IF(E146=Pengaturan!$J$19,I146,0))</f>
        <v/>
      </c>
      <c r="K146" s="36" t="str">
        <f aca="false">IF(OR(C146="",I146=""),"",IF(E146=Pengaturan!$J$20,I146,0))</f>
        <v/>
      </c>
      <c r="L146" s="31" t="str">
        <f aca="false">IF(C146="","",MONTH(C146))</f>
        <v/>
      </c>
      <c r="M146" s="34"/>
      <c r="N146" s="34"/>
      <c r="O146" s="34"/>
    </row>
    <row r="147" customFormat="false" ht="15" hidden="false" customHeight="false" outlineLevel="0" collapsed="false">
      <c r="B147" s="31" t="str">
        <f aca="false">IF(C147="","",ROW()-5)</f>
        <v/>
      </c>
      <c r="C147" s="32"/>
      <c r="D147" s="33"/>
      <c r="E147" s="33"/>
      <c r="F147" s="34"/>
      <c r="G147" s="33"/>
      <c r="H147" s="34"/>
      <c r="I147" s="35"/>
      <c r="J147" s="36" t="str">
        <f aca="false">IF(OR(C147="",I147=""),"",IF(E147=Pengaturan!$J$19,I147,0))</f>
        <v/>
      </c>
      <c r="K147" s="36" t="str">
        <f aca="false">IF(OR(C147="",I147=""),"",IF(E147=Pengaturan!$J$20,I147,0))</f>
        <v/>
      </c>
      <c r="L147" s="31" t="str">
        <f aca="false">IF(C147="","",MONTH(C147))</f>
        <v/>
      </c>
      <c r="M147" s="34"/>
      <c r="N147" s="34"/>
      <c r="O147" s="34"/>
    </row>
    <row r="148" customFormat="false" ht="15" hidden="false" customHeight="false" outlineLevel="0" collapsed="false">
      <c r="B148" s="31" t="str">
        <f aca="false">IF(C148="","",ROW()-5)</f>
        <v/>
      </c>
      <c r="C148" s="32"/>
      <c r="D148" s="33"/>
      <c r="E148" s="33"/>
      <c r="F148" s="34"/>
      <c r="G148" s="33"/>
      <c r="H148" s="34"/>
      <c r="I148" s="35"/>
      <c r="J148" s="36" t="str">
        <f aca="false">IF(OR(C148="",I148=""),"",IF(E148=Pengaturan!$J$19,I148,0))</f>
        <v/>
      </c>
      <c r="K148" s="36" t="str">
        <f aca="false">IF(OR(C148="",I148=""),"",IF(E148=Pengaturan!$J$20,I148,0))</f>
        <v/>
      </c>
      <c r="L148" s="31" t="str">
        <f aca="false">IF(C148="","",MONTH(C148))</f>
        <v/>
      </c>
      <c r="M148" s="34"/>
      <c r="N148" s="34"/>
      <c r="O148" s="34"/>
    </row>
    <row r="149" customFormat="false" ht="15" hidden="false" customHeight="false" outlineLevel="0" collapsed="false">
      <c r="B149" s="31" t="str">
        <f aca="false">IF(C149="","",ROW()-5)</f>
        <v/>
      </c>
      <c r="C149" s="32"/>
      <c r="D149" s="33"/>
      <c r="E149" s="33"/>
      <c r="F149" s="34"/>
      <c r="G149" s="33"/>
      <c r="H149" s="34"/>
      <c r="I149" s="35"/>
      <c r="J149" s="36" t="str">
        <f aca="false">IF(OR(C149="",I149=""),"",IF(E149=Pengaturan!$J$19,I149,0))</f>
        <v/>
      </c>
      <c r="K149" s="36" t="str">
        <f aca="false">IF(OR(C149="",I149=""),"",IF(E149=Pengaturan!$J$20,I149,0))</f>
        <v/>
      </c>
      <c r="L149" s="31" t="str">
        <f aca="false">IF(C149="","",MONTH(C149))</f>
        <v/>
      </c>
      <c r="M149" s="34"/>
      <c r="N149" s="34"/>
      <c r="O149" s="34"/>
    </row>
    <row r="150" customFormat="false" ht="15" hidden="false" customHeight="false" outlineLevel="0" collapsed="false">
      <c r="B150" s="31" t="str">
        <f aca="false">IF(C150="","",ROW()-5)</f>
        <v/>
      </c>
      <c r="C150" s="32"/>
      <c r="D150" s="33"/>
      <c r="E150" s="33"/>
      <c r="F150" s="34"/>
      <c r="G150" s="33"/>
      <c r="H150" s="34"/>
      <c r="I150" s="35"/>
      <c r="J150" s="36" t="str">
        <f aca="false">IF(OR(C150="",I150=""),"",IF(E150=Pengaturan!$J$19,I150,0))</f>
        <v/>
      </c>
      <c r="K150" s="36" t="str">
        <f aca="false">IF(OR(C150="",I150=""),"",IF(E150=Pengaturan!$J$20,I150,0))</f>
        <v/>
      </c>
      <c r="L150" s="31" t="str">
        <f aca="false">IF(C150="","",MONTH(C150))</f>
        <v/>
      </c>
      <c r="M150" s="34"/>
      <c r="N150" s="34"/>
      <c r="O150" s="34"/>
    </row>
    <row r="151" customFormat="false" ht="15" hidden="false" customHeight="false" outlineLevel="0" collapsed="false">
      <c r="B151" s="31" t="str">
        <f aca="false">IF(C151="","",ROW()-5)</f>
        <v/>
      </c>
      <c r="C151" s="32"/>
      <c r="D151" s="33"/>
      <c r="E151" s="33"/>
      <c r="F151" s="34"/>
      <c r="G151" s="33"/>
      <c r="H151" s="34"/>
      <c r="I151" s="35"/>
      <c r="J151" s="36" t="str">
        <f aca="false">IF(OR(C151="",I151=""),"",IF(E151=Pengaturan!$J$19,I151,0))</f>
        <v/>
      </c>
      <c r="K151" s="36" t="str">
        <f aca="false">IF(OR(C151="",I151=""),"",IF(E151=Pengaturan!$J$20,I151,0))</f>
        <v/>
      </c>
      <c r="L151" s="31" t="str">
        <f aca="false">IF(C151="","",MONTH(C151))</f>
        <v/>
      </c>
      <c r="M151" s="34"/>
      <c r="N151" s="34"/>
      <c r="O151" s="34"/>
    </row>
    <row r="152" customFormat="false" ht="15" hidden="false" customHeight="false" outlineLevel="0" collapsed="false">
      <c r="B152" s="31" t="str">
        <f aca="false">IF(C152="","",ROW()-5)</f>
        <v/>
      </c>
      <c r="C152" s="32"/>
      <c r="D152" s="33"/>
      <c r="E152" s="33"/>
      <c r="F152" s="34"/>
      <c r="G152" s="33"/>
      <c r="H152" s="34"/>
      <c r="I152" s="35"/>
      <c r="J152" s="36" t="str">
        <f aca="false">IF(OR(C152="",I152=""),"",IF(E152=Pengaturan!$J$19,I152,0))</f>
        <v/>
      </c>
      <c r="K152" s="36" t="str">
        <f aca="false">IF(OR(C152="",I152=""),"",IF(E152=Pengaturan!$J$20,I152,0))</f>
        <v/>
      </c>
      <c r="L152" s="31" t="str">
        <f aca="false">IF(C152="","",MONTH(C152))</f>
        <v/>
      </c>
      <c r="M152" s="34"/>
      <c r="N152" s="34"/>
      <c r="O152" s="34"/>
    </row>
    <row r="153" customFormat="false" ht="15" hidden="false" customHeight="false" outlineLevel="0" collapsed="false">
      <c r="B153" s="31" t="str">
        <f aca="false">IF(C153="","",ROW()-5)</f>
        <v/>
      </c>
      <c r="C153" s="32"/>
      <c r="D153" s="33"/>
      <c r="E153" s="33"/>
      <c r="F153" s="34"/>
      <c r="G153" s="33"/>
      <c r="H153" s="34"/>
      <c r="I153" s="35"/>
      <c r="J153" s="36" t="str">
        <f aca="false">IF(OR(C153="",I153=""),"",IF(E153=Pengaturan!$J$19,I153,0))</f>
        <v/>
      </c>
      <c r="K153" s="36" t="str">
        <f aca="false">IF(OR(C153="",I153=""),"",IF(E153=Pengaturan!$J$20,I153,0))</f>
        <v/>
      </c>
      <c r="L153" s="31" t="str">
        <f aca="false">IF(C153="","",MONTH(C153))</f>
        <v/>
      </c>
      <c r="M153" s="34"/>
      <c r="N153" s="34"/>
      <c r="O153" s="34"/>
    </row>
    <row r="154" customFormat="false" ht="15" hidden="false" customHeight="false" outlineLevel="0" collapsed="false">
      <c r="B154" s="31" t="str">
        <f aca="false">IF(C154="","",ROW()-5)</f>
        <v/>
      </c>
      <c r="C154" s="32"/>
      <c r="D154" s="33"/>
      <c r="E154" s="33"/>
      <c r="F154" s="34"/>
      <c r="G154" s="33"/>
      <c r="H154" s="34"/>
      <c r="I154" s="35"/>
      <c r="J154" s="36" t="str">
        <f aca="false">IF(OR(C154="",I154=""),"",IF(E154=Pengaturan!$J$19,I154,0))</f>
        <v/>
      </c>
      <c r="K154" s="36" t="str">
        <f aca="false">IF(OR(C154="",I154=""),"",IF(E154=Pengaturan!$J$20,I154,0))</f>
        <v/>
      </c>
      <c r="L154" s="31" t="str">
        <f aca="false">IF(C154="","",MONTH(C154))</f>
        <v/>
      </c>
      <c r="M154" s="34"/>
      <c r="N154" s="34"/>
      <c r="O154" s="34"/>
    </row>
    <row r="155" customFormat="false" ht="15" hidden="false" customHeight="false" outlineLevel="0" collapsed="false">
      <c r="B155" s="31" t="str">
        <f aca="false">IF(C155="","",ROW()-5)</f>
        <v/>
      </c>
      <c r="C155" s="32"/>
      <c r="D155" s="33"/>
      <c r="E155" s="33"/>
      <c r="F155" s="34"/>
      <c r="G155" s="33"/>
      <c r="H155" s="34"/>
      <c r="I155" s="35"/>
      <c r="J155" s="36" t="str">
        <f aca="false">IF(OR(C155="",I155=""),"",IF(E155=Pengaturan!$J$19,I155,0))</f>
        <v/>
      </c>
      <c r="K155" s="36" t="str">
        <f aca="false">IF(OR(C155="",I155=""),"",IF(E155=Pengaturan!$J$20,I155,0))</f>
        <v/>
      </c>
      <c r="L155" s="31" t="str">
        <f aca="false">IF(C155="","",MONTH(C155))</f>
        <v/>
      </c>
      <c r="M155" s="34"/>
      <c r="N155" s="34"/>
      <c r="O155" s="34"/>
    </row>
    <row r="156" customFormat="false" ht="15" hidden="false" customHeight="false" outlineLevel="0" collapsed="false">
      <c r="B156" s="31" t="str">
        <f aca="false">IF(C156="","",ROW()-5)</f>
        <v/>
      </c>
      <c r="C156" s="32"/>
      <c r="D156" s="33"/>
      <c r="E156" s="33"/>
      <c r="F156" s="34"/>
      <c r="G156" s="33"/>
      <c r="H156" s="34"/>
      <c r="I156" s="35"/>
      <c r="J156" s="36" t="str">
        <f aca="false">IF(OR(C156="",I156=""),"",IF(E156=Pengaturan!$J$19,I156,0))</f>
        <v/>
      </c>
      <c r="K156" s="36" t="str">
        <f aca="false">IF(OR(C156="",I156=""),"",IF(E156=Pengaturan!$J$20,I156,0))</f>
        <v/>
      </c>
      <c r="L156" s="31" t="str">
        <f aca="false">IF(C156="","",MONTH(C156))</f>
        <v/>
      </c>
      <c r="M156" s="34"/>
      <c r="N156" s="34"/>
      <c r="O156" s="34"/>
    </row>
    <row r="157" customFormat="false" ht="15" hidden="false" customHeight="false" outlineLevel="0" collapsed="false">
      <c r="B157" s="31" t="str">
        <f aca="false">IF(C157="","",ROW()-5)</f>
        <v/>
      </c>
      <c r="C157" s="32"/>
      <c r="D157" s="33"/>
      <c r="E157" s="33"/>
      <c r="F157" s="34"/>
      <c r="G157" s="33"/>
      <c r="H157" s="34"/>
      <c r="I157" s="35"/>
      <c r="J157" s="36" t="str">
        <f aca="false">IF(OR(C157="",I157=""),"",IF(E157=Pengaturan!$J$19,I157,0))</f>
        <v/>
      </c>
      <c r="K157" s="36" t="str">
        <f aca="false">IF(OR(C157="",I157=""),"",IF(E157=Pengaturan!$J$20,I157,0))</f>
        <v/>
      </c>
      <c r="L157" s="31" t="str">
        <f aca="false">IF(C157="","",MONTH(C157))</f>
        <v/>
      </c>
      <c r="M157" s="34"/>
      <c r="N157" s="34"/>
      <c r="O157" s="34"/>
    </row>
    <row r="158" customFormat="false" ht="15" hidden="false" customHeight="false" outlineLevel="0" collapsed="false">
      <c r="B158" s="31" t="str">
        <f aca="false">IF(C158="","",ROW()-5)</f>
        <v/>
      </c>
      <c r="C158" s="32"/>
      <c r="D158" s="33"/>
      <c r="E158" s="33"/>
      <c r="F158" s="34"/>
      <c r="G158" s="33"/>
      <c r="H158" s="34"/>
      <c r="I158" s="35"/>
      <c r="J158" s="36" t="str">
        <f aca="false">IF(OR(C158="",I158=""),"",IF(E158=Pengaturan!$J$19,I158,0))</f>
        <v/>
      </c>
      <c r="K158" s="36" t="str">
        <f aca="false">IF(OR(C158="",I158=""),"",IF(E158=Pengaturan!$J$20,I158,0))</f>
        <v/>
      </c>
      <c r="L158" s="31" t="str">
        <f aca="false">IF(C158="","",MONTH(C158))</f>
        <v/>
      </c>
      <c r="M158" s="34"/>
      <c r="N158" s="34"/>
      <c r="O158" s="34"/>
    </row>
    <row r="159" customFormat="false" ht="15" hidden="false" customHeight="false" outlineLevel="0" collapsed="false">
      <c r="B159" s="31" t="str">
        <f aca="false">IF(C159="","",ROW()-5)</f>
        <v/>
      </c>
      <c r="C159" s="32"/>
      <c r="D159" s="33"/>
      <c r="E159" s="33"/>
      <c r="F159" s="34"/>
      <c r="G159" s="33"/>
      <c r="H159" s="34"/>
      <c r="I159" s="35"/>
      <c r="J159" s="36" t="str">
        <f aca="false">IF(OR(C159="",I159=""),"",IF(E159=Pengaturan!$J$19,I159,0))</f>
        <v/>
      </c>
      <c r="K159" s="36" t="str">
        <f aca="false">IF(OR(C159="",I159=""),"",IF(E159=Pengaturan!$J$20,I159,0))</f>
        <v/>
      </c>
      <c r="L159" s="31" t="str">
        <f aca="false">IF(C159="","",MONTH(C159))</f>
        <v/>
      </c>
      <c r="M159" s="34"/>
      <c r="N159" s="34"/>
      <c r="O159" s="34"/>
    </row>
    <row r="160" customFormat="false" ht="15" hidden="false" customHeight="false" outlineLevel="0" collapsed="false">
      <c r="B160" s="31" t="str">
        <f aca="false">IF(C160="","",ROW()-5)</f>
        <v/>
      </c>
      <c r="C160" s="32"/>
      <c r="D160" s="33"/>
      <c r="E160" s="33"/>
      <c r="F160" s="34"/>
      <c r="G160" s="33"/>
      <c r="H160" s="34"/>
      <c r="I160" s="35"/>
      <c r="J160" s="36" t="str">
        <f aca="false">IF(OR(C160="",I160=""),"",IF(E160=Pengaturan!$J$19,I160,0))</f>
        <v/>
      </c>
      <c r="K160" s="36" t="str">
        <f aca="false">IF(OR(C160="",I160=""),"",IF(E160=Pengaturan!$J$20,I160,0))</f>
        <v/>
      </c>
      <c r="L160" s="31" t="str">
        <f aca="false">IF(C160="","",MONTH(C160))</f>
        <v/>
      </c>
      <c r="M160" s="34"/>
      <c r="N160" s="34"/>
      <c r="O160" s="34"/>
    </row>
    <row r="161" customFormat="false" ht="15" hidden="false" customHeight="false" outlineLevel="0" collapsed="false">
      <c r="B161" s="31" t="str">
        <f aca="false">IF(C161="","",ROW()-5)</f>
        <v/>
      </c>
      <c r="C161" s="32"/>
      <c r="D161" s="33"/>
      <c r="E161" s="33"/>
      <c r="F161" s="34"/>
      <c r="G161" s="33"/>
      <c r="H161" s="34"/>
      <c r="I161" s="35"/>
      <c r="J161" s="36" t="str">
        <f aca="false">IF(OR(C161="",I161=""),"",IF(E161=Pengaturan!$J$19,I161,0))</f>
        <v/>
      </c>
      <c r="K161" s="36" t="str">
        <f aca="false">IF(OR(C161="",I161=""),"",IF(E161=Pengaturan!$J$20,I161,0))</f>
        <v/>
      </c>
      <c r="L161" s="31" t="str">
        <f aca="false">IF(C161="","",MONTH(C161))</f>
        <v/>
      </c>
      <c r="M161" s="34"/>
      <c r="N161" s="34"/>
      <c r="O161" s="34"/>
    </row>
    <row r="162" customFormat="false" ht="15" hidden="false" customHeight="false" outlineLevel="0" collapsed="false">
      <c r="B162" s="31" t="str">
        <f aca="false">IF(C162="","",ROW()-5)</f>
        <v/>
      </c>
      <c r="C162" s="32"/>
      <c r="D162" s="33"/>
      <c r="E162" s="33"/>
      <c r="F162" s="34"/>
      <c r="G162" s="33"/>
      <c r="H162" s="34"/>
      <c r="I162" s="35"/>
      <c r="J162" s="36" t="str">
        <f aca="false">IF(OR(C162="",I162=""),"",IF(E162=Pengaturan!$J$19,I162,0))</f>
        <v/>
      </c>
      <c r="K162" s="36" t="str">
        <f aca="false">IF(OR(C162="",I162=""),"",IF(E162=Pengaturan!$J$20,I162,0))</f>
        <v/>
      </c>
      <c r="L162" s="31" t="str">
        <f aca="false">IF(C162="","",MONTH(C162))</f>
        <v/>
      </c>
      <c r="M162" s="34"/>
      <c r="N162" s="34"/>
      <c r="O162" s="34"/>
    </row>
    <row r="163" customFormat="false" ht="15" hidden="false" customHeight="false" outlineLevel="0" collapsed="false">
      <c r="B163" s="31" t="str">
        <f aca="false">IF(C163="","",ROW()-5)</f>
        <v/>
      </c>
      <c r="C163" s="32"/>
      <c r="D163" s="33"/>
      <c r="E163" s="33"/>
      <c r="F163" s="34"/>
      <c r="G163" s="33"/>
      <c r="H163" s="34"/>
      <c r="I163" s="35"/>
      <c r="J163" s="36" t="str">
        <f aca="false">IF(OR(C163="",I163=""),"",IF(E163=Pengaturan!$J$19,I163,0))</f>
        <v/>
      </c>
      <c r="K163" s="36" t="str">
        <f aca="false">IF(OR(C163="",I163=""),"",IF(E163=Pengaturan!$J$20,I163,0))</f>
        <v/>
      </c>
      <c r="L163" s="31" t="str">
        <f aca="false">IF(C163="","",MONTH(C163))</f>
        <v/>
      </c>
      <c r="M163" s="34"/>
      <c r="N163" s="34"/>
      <c r="O163" s="34"/>
    </row>
    <row r="164" customFormat="false" ht="15" hidden="false" customHeight="false" outlineLevel="0" collapsed="false">
      <c r="B164" s="31" t="str">
        <f aca="false">IF(C164="","",ROW()-5)</f>
        <v/>
      </c>
      <c r="C164" s="32"/>
      <c r="D164" s="33"/>
      <c r="E164" s="33"/>
      <c r="F164" s="34"/>
      <c r="G164" s="33"/>
      <c r="H164" s="34"/>
      <c r="I164" s="35"/>
      <c r="J164" s="36" t="str">
        <f aca="false">IF(OR(C164="",I164=""),"",IF(E164=Pengaturan!$J$19,I164,0))</f>
        <v/>
      </c>
      <c r="K164" s="36" t="str">
        <f aca="false">IF(OR(C164="",I164=""),"",IF(E164=Pengaturan!$J$20,I164,0))</f>
        <v/>
      </c>
      <c r="L164" s="31" t="str">
        <f aca="false">IF(C164="","",MONTH(C164))</f>
        <v/>
      </c>
      <c r="M164" s="34"/>
      <c r="N164" s="34"/>
      <c r="O164" s="34"/>
    </row>
    <row r="165" customFormat="false" ht="15" hidden="false" customHeight="false" outlineLevel="0" collapsed="false">
      <c r="B165" s="31" t="str">
        <f aca="false">IF(C165="","",ROW()-5)</f>
        <v/>
      </c>
      <c r="C165" s="32"/>
      <c r="D165" s="33"/>
      <c r="E165" s="33"/>
      <c r="F165" s="34"/>
      <c r="G165" s="33"/>
      <c r="H165" s="34"/>
      <c r="I165" s="35"/>
      <c r="J165" s="36" t="str">
        <f aca="false">IF(OR(C165="",I165=""),"",IF(E165=Pengaturan!$J$19,I165,0))</f>
        <v/>
      </c>
      <c r="K165" s="36" t="str">
        <f aca="false">IF(OR(C165="",I165=""),"",IF(E165=Pengaturan!$J$20,I165,0))</f>
        <v/>
      </c>
      <c r="L165" s="31" t="str">
        <f aca="false">IF(C165="","",MONTH(C165))</f>
        <v/>
      </c>
      <c r="M165" s="34"/>
      <c r="N165" s="34"/>
      <c r="O165" s="34"/>
    </row>
    <row r="166" customFormat="false" ht="15" hidden="false" customHeight="false" outlineLevel="0" collapsed="false">
      <c r="B166" s="31" t="str">
        <f aca="false">IF(C166="","",ROW()-5)</f>
        <v/>
      </c>
      <c r="C166" s="32"/>
      <c r="D166" s="33"/>
      <c r="E166" s="33"/>
      <c r="F166" s="34"/>
      <c r="G166" s="33"/>
      <c r="H166" s="34"/>
      <c r="I166" s="35"/>
      <c r="J166" s="36" t="str">
        <f aca="false">IF(OR(C166="",I166=""),"",IF(E166=Pengaturan!$J$19,I166,0))</f>
        <v/>
      </c>
      <c r="K166" s="36" t="str">
        <f aca="false">IF(OR(C166="",I166=""),"",IF(E166=Pengaturan!$J$20,I166,0))</f>
        <v/>
      </c>
      <c r="L166" s="31" t="str">
        <f aca="false">IF(C166="","",MONTH(C166))</f>
        <v/>
      </c>
      <c r="M166" s="34"/>
      <c r="N166" s="34"/>
      <c r="O166" s="34"/>
    </row>
    <row r="167" customFormat="false" ht="15" hidden="false" customHeight="false" outlineLevel="0" collapsed="false">
      <c r="B167" s="31" t="str">
        <f aca="false">IF(C167="","",ROW()-5)</f>
        <v/>
      </c>
      <c r="C167" s="32"/>
      <c r="D167" s="33"/>
      <c r="E167" s="33"/>
      <c r="F167" s="34"/>
      <c r="G167" s="33"/>
      <c r="H167" s="34"/>
      <c r="I167" s="35"/>
      <c r="J167" s="36" t="str">
        <f aca="false">IF(OR(C167="",I167=""),"",IF(E167=Pengaturan!$J$19,I167,0))</f>
        <v/>
      </c>
      <c r="K167" s="36" t="str">
        <f aca="false">IF(OR(C167="",I167=""),"",IF(E167=Pengaturan!$J$20,I167,0))</f>
        <v/>
      </c>
      <c r="L167" s="31" t="str">
        <f aca="false">IF(C167="","",MONTH(C167))</f>
        <v/>
      </c>
      <c r="M167" s="34"/>
      <c r="N167" s="34"/>
      <c r="O167" s="34"/>
    </row>
    <row r="168" customFormat="false" ht="15" hidden="false" customHeight="false" outlineLevel="0" collapsed="false">
      <c r="B168" s="31" t="str">
        <f aca="false">IF(C168="","",ROW()-5)</f>
        <v/>
      </c>
      <c r="C168" s="32"/>
      <c r="D168" s="33"/>
      <c r="E168" s="33"/>
      <c r="F168" s="34"/>
      <c r="G168" s="33"/>
      <c r="H168" s="34"/>
      <c r="I168" s="35"/>
      <c r="J168" s="36" t="str">
        <f aca="false">IF(OR(C168="",I168=""),"",IF(E168=Pengaturan!$J$19,I168,0))</f>
        <v/>
      </c>
      <c r="K168" s="36" t="str">
        <f aca="false">IF(OR(C168="",I168=""),"",IF(E168=Pengaturan!$J$20,I168,0))</f>
        <v/>
      </c>
      <c r="L168" s="31" t="str">
        <f aca="false">IF(C168="","",MONTH(C168))</f>
        <v/>
      </c>
      <c r="M168" s="34"/>
      <c r="N168" s="34"/>
      <c r="O168" s="34"/>
    </row>
    <row r="169" customFormat="false" ht="15" hidden="false" customHeight="false" outlineLevel="0" collapsed="false">
      <c r="B169" s="31" t="str">
        <f aca="false">IF(C169="","",ROW()-5)</f>
        <v/>
      </c>
      <c r="C169" s="32"/>
      <c r="D169" s="33"/>
      <c r="E169" s="33"/>
      <c r="F169" s="34"/>
      <c r="G169" s="33"/>
      <c r="H169" s="34"/>
      <c r="I169" s="35"/>
      <c r="J169" s="36" t="str">
        <f aca="false">IF(OR(C169="",I169=""),"",IF(E169=Pengaturan!$J$19,I169,0))</f>
        <v/>
      </c>
      <c r="K169" s="36" t="str">
        <f aca="false">IF(OR(C169="",I169=""),"",IF(E169=Pengaturan!$J$20,I169,0))</f>
        <v/>
      </c>
      <c r="L169" s="31" t="str">
        <f aca="false">IF(C169="","",MONTH(C169))</f>
        <v/>
      </c>
      <c r="M169" s="34"/>
      <c r="N169" s="34"/>
      <c r="O169" s="34"/>
    </row>
    <row r="170" customFormat="false" ht="15" hidden="false" customHeight="false" outlineLevel="0" collapsed="false">
      <c r="B170" s="31" t="str">
        <f aca="false">IF(C170="","",ROW()-5)</f>
        <v/>
      </c>
      <c r="C170" s="32"/>
      <c r="D170" s="33"/>
      <c r="E170" s="33"/>
      <c r="F170" s="34"/>
      <c r="G170" s="33"/>
      <c r="H170" s="34"/>
      <c r="I170" s="35"/>
      <c r="J170" s="36" t="str">
        <f aca="false">IF(OR(C170="",I170=""),"",IF(E170=Pengaturan!$J$19,I170,0))</f>
        <v/>
      </c>
      <c r="K170" s="36" t="str">
        <f aca="false">IF(OR(C170="",I170=""),"",IF(E170=Pengaturan!$J$20,I170,0))</f>
        <v/>
      </c>
      <c r="L170" s="31" t="str">
        <f aca="false">IF(C170="","",MONTH(C170))</f>
        <v/>
      </c>
      <c r="M170" s="34"/>
      <c r="N170" s="34"/>
      <c r="O170" s="34"/>
    </row>
    <row r="171" customFormat="false" ht="15" hidden="false" customHeight="false" outlineLevel="0" collapsed="false">
      <c r="B171" s="31" t="str">
        <f aca="false">IF(C171="","",ROW()-5)</f>
        <v/>
      </c>
      <c r="C171" s="32"/>
      <c r="D171" s="33"/>
      <c r="E171" s="33"/>
      <c r="F171" s="34"/>
      <c r="G171" s="33"/>
      <c r="H171" s="34"/>
      <c r="I171" s="35"/>
      <c r="J171" s="36" t="str">
        <f aca="false">IF(OR(C171="",I171=""),"",IF(E171=Pengaturan!$J$19,I171,0))</f>
        <v/>
      </c>
      <c r="K171" s="36" t="str">
        <f aca="false">IF(OR(C171="",I171=""),"",IF(E171=Pengaturan!$J$20,I171,0))</f>
        <v/>
      </c>
      <c r="L171" s="31" t="str">
        <f aca="false">IF(C171="","",MONTH(C171))</f>
        <v/>
      </c>
      <c r="M171" s="34"/>
      <c r="N171" s="34"/>
      <c r="O171" s="34"/>
    </row>
    <row r="172" customFormat="false" ht="15" hidden="false" customHeight="false" outlineLevel="0" collapsed="false">
      <c r="B172" s="31" t="str">
        <f aca="false">IF(C172="","",ROW()-5)</f>
        <v/>
      </c>
      <c r="C172" s="32"/>
      <c r="D172" s="33"/>
      <c r="E172" s="33"/>
      <c r="F172" s="34"/>
      <c r="G172" s="33"/>
      <c r="H172" s="34"/>
      <c r="I172" s="35"/>
      <c r="J172" s="36" t="str">
        <f aca="false">IF(OR(C172="",I172=""),"",IF(E172=Pengaturan!$J$19,I172,0))</f>
        <v/>
      </c>
      <c r="K172" s="36" t="str">
        <f aca="false">IF(OR(C172="",I172=""),"",IF(E172=Pengaturan!$J$20,I172,0))</f>
        <v/>
      </c>
      <c r="L172" s="31" t="str">
        <f aca="false">IF(C172="","",MONTH(C172))</f>
        <v/>
      </c>
      <c r="M172" s="34"/>
      <c r="N172" s="34"/>
      <c r="O172" s="34"/>
    </row>
    <row r="173" customFormat="false" ht="15" hidden="false" customHeight="false" outlineLevel="0" collapsed="false">
      <c r="B173" s="31" t="str">
        <f aca="false">IF(C173="","",ROW()-5)</f>
        <v/>
      </c>
      <c r="C173" s="32"/>
      <c r="D173" s="33"/>
      <c r="E173" s="33"/>
      <c r="F173" s="34"/>
      <c r="G173" s="33"/>
      <c r="H173" s="34"/>
      <c r="I173" s="35"/>
      <c r="J173" s="36" t="str">
        <f aca="false">IF(OR(C173="",I173=""),"",IF(E173=Pengaturan!$J$19,I173,0))</f>
        <v/>
      </c>
      <c r="K173" s="36" t="str">
        <f aca="false">IF(OR(C173="",I173=""),"",IF(E173=Pengaturan!$J$20,I173,0))</f>
        <v/>
      </c>
      <c r="L173" s="31" t="str">
        <f aca="false">IF(C173="","",MONTH(C173))</f>
        <v/>
      </c>
      <c r="M173" s="34"/>
      <c r="N173" s="34"/>
      <c r="O173" s="34"/>
    </row>
    <row r="174" customFormat="false" ht="15" hidden="false" customHeight="false" outlineLevel="0" collapsed="false">
      <c r="B174" s="31" t="str">
        <f aca="false">IF(C174="","",ROW()-5)</f>
        <v/>
      </c>
      <c r="C174" s="32"/>
      <c r="D174" s="33"/>
      <c r="E174" s="33"/>
      <c r="F174" s="34"/>
      <c r="G174" s="33"/>
      <c r="H174" s="34"/>
      <c r="I174" s="35"/>
      <c r="J174" s="36" t="str">
        <f aca="false">IF(OR(C174="",I174=""),"",IF(E174=Pengaturan!$J$19,I174,0))</f>
        <v/>
      </c>
      <c r="K174" s="36" t="str">
        <f aca="false">IF(OR(C174="",I174=""),"",IF(E174=Pengaturan!$J$20,I174,0))</f>
        <v/>
      </c>
      <c r="L174" s="31" t="str">
        <f aca="false">IF(C174="","",MONTH(C174))</f>
        <v/>
      </c>
      <c r="M174" s="34"/>
      <c r="N174" s="34"/>
      <c r="O174" s="34"/>
    </row>
    <row r="175" customFormat="false" ht="15" hidden="false" customHeight="false" outlineLevel="0" collapsed="false">
      <c r="B175" s="31" t="str">
        <f aca="false">IF(C175="","",ROW()-5)</f>
        <v/>
      </c>
      <c r="C175" s="32"/>
      <c r="D175" s="33"/>
      <c r="E175" s="33"/>
      <c r="F175" s="34"/>
      <c r="G175" s="33"/>
      <c r="H175" s="34"/>
      <c r="I175" s="35"/>
      <c r="J175" s="36" t="str">
        <f aca="false">IF(OR(C175="",I175=""),"",IF(E175=Pengaturan!$J$19,I175,0))</f>
        <v/>
      </c>
      <c r="K175" s="36" t="str">
        <f aca="false">IF(OR(C175="",I175=""),"",IF(E175=Pengaturan!$J$20,I175,0))</f>
        <v/>
      </c>
      <c r="L175" s="31" t="str">
        <f aca="false">IF(C175="","",MONTH(C175))</f>
        <v/>
      </c>
      <c r="M175" s="34"/>
      <c r="N175" s="34"/>
      <c r="O175" s="34"/>
    </row>
    <row r="176" customFormat="false" ht="15" hidden="false" customHeight="false" outlineLevel="0" collapsed="false">
      <c r="B176" s="31" t="str">
        <f aca="false">IF(C176="","",ROW()-5)</f>
        <v/>
      </c>
      <c r="C176" s="32"/>
      <c r="D176" s="33"/>
      <c r="E176" s="33"/>
      <c r="F176" s="34"/>
      <c r="G176" s="33"/>
      <c r="H176" s="34"/>
      <c r="I176" s="35"/>
      <c r="J176" s="36" t="str">
        <f aca="false">IF(OR(C176="",I176=""),"",IF(E176=Pengaturan!$J$19,I176,0))</f>
        <v/>
      </c>
      <c r="K176" s="36" t="str">
        <f aca="false">IF(OR(C176="",I176=""),"",IF(E176=Pengaturan!$J$20,I176,0))</f>
        <v/>
      </c>
      <c r="L176" s="31" t="str">
        <f aca="false">IF(C176="","",MONTH(C176))</f>
        <v/>
      </c>
      <c r="M176" s="34"/>
      <c r="N176" s="34"/>
      <c r="O176" s="34"/>
    </row>
    <row r="177" customFormat="false" ht="15" hidden="false" customHeight="false" outlineLevel="0" collapsed="false">
      <c r="B177" s="31" t="str">
        <f aca="false">IF(C177="","",ROW()-5)</f>
        <v/>
      </c>
      <c r="C177" s="32"/>
      <c r="D177" s="33"/>
      <c r="E177" s="33"/>
      <c r="F177" s="34"/>
      <c r="G177" s="33"/>
      <c r="H177" s="34"/>
      <c r="I177" s="35"/>
      <c r="J177" s="36" t="str">
        <f aca="false">IF(OR(C177="",I177=""),"",IF(E177=Pengaturan!$J$19,I177,0))</f>
        <v/>
      </c>
      <c r="K177" s="36" t="str">
        <f aca="false">IF(OR(C177="",I177=""),"",IF(E177=Pengaturan!$J$20,I177,0))</f>
        <v/>
      </c>
      <c r="L177" s="31" t="str">
        <f aca="false">IF(C177="","",MONTH(C177))</f>
        <v/>
      </c>
      <c r="M177" s="34"/>
      <c r="N177" s="34"/>
      <c r="O177" s="34"/>
    </row>
    <row r="178" customFormat="false" ht="15" hidden="false" customHeight="false" outlineLevel="0" collapsed="false">
      <c r="B178" s="31" t="str">
        <f aca="false">IF(C178="","",ROW()-5)</f>
        <v/>
      </c>
      <c r="C178" s="32"/>
      <c r="D178" s="33"/>
      <c r="E178" s="33"/>
      <c r="F178" s="34"/>
      <c r="G178" s="33"/>
      <c r="H178" s="34"/>
      <c r="I178" s="35"/>
      <c r="J178" s="36" t="str">
        <f aca="false">IF(OR(C178="",I178=""),"",IF(E178=Pengaturan!$J$19,I178,0))</f>
        <v/>
      </c>
      <c r="K178" s="36" t="str">
        <f aca="false">IF(OR(C178="",I178=""),"",IF(E178=Pengaturan!$J$20,I178,0))</f>
        <v/>
      </c>
      <c r="L178" s="31" t="str">
        <f aca="false">IF(C178="","",MONTH(C178))</f>
        <v/>
      </c>
      <c r="M178" s="34"/>
      <c r="N178" s="34"/>
      <c r="O178" s="34"/>
    </row>
    <row r="179" customFormat="false" ht="15" hidden="false" customHeight="false" outlineLevel="0" collapsed="false">
      <c r="B179" s="31" t="str">
        <f aca="false">IF(C179="","",ROW()-5)</f>
        <v/>
      </c>
      <c r="C179" s="32"/>
      <c r="D179" s="33"/>
      <c r="E179" s="33"/>
      <c r="F179" s="34"/>
      <c r="G179" s="33"/>
      <c r="H179" s="34"/>
      <c r="I179" s="35"/>
      <c r="J179" s="36" t="str">
        <f aca="false">IF(OR(C179="",I179=""),"",IF(E179=Pengaturan!$J$19,I179,0))</f>
        <v/>
      </c>
      <c r="K179" s="36" t="str">
        <f aca="false">IF(OR(C179="",I179=""),"",IF(E179=Pengaturan!$J$20,I179,0))</f>
        <v/>
      </c>
      <c r="L179" s="31" t="str">
        <f aca="false">IF(C179="","",MONTH(C179))</f>
        <v/>
      </c>
      <c r="M179" s="34"/>
      <c r="N179" s="34"/>
      <c r="O179" s="34"/>
    </row>
    <row r="180" customFormat="false" ht="15" hidden="false" customHeight="false" outlineLevel="0" collapsed="false">
      <c r="B180" s="31" t="str">
        <f aca="false">IF(C180="","",ROW()-5)</f>
        <v/>
      </c>
      <c r="C180" s="32"/>
      <c r="D180" s="33"/>
      <c r="E180" s="33"/>
      <c r="F180" s="34"/>
      <c r="G180" s="33"/>
      <c r="H180" s="34"/>
      <c r="I180" s="35"/>
      <c r="J180" s="36" t="str">
        <f aca="false">IF(OR(C180="",I180=""),"",IF(E180=Pengaturan!$J$19,I180,0))</f>
        <v/>
      </c>
      <c r="K180" s="36" t="str">
        <f aca="false">IF(OR(C180="",I180=""),"",IF(E180=Pengaturan!$J$20,I180,0))</f>
        <v/>
      </c>
      <c r="L180" s="31" t="str">
        <f aca="false">IF(C180="","",MONTH(C180))</f>
        <v/>
      </c>
      <c r="M180" s="34"/>
      <c r="N180" s="34"/>
      <c r="O180" s="34"/>
    </row>
    <row r="181" customFormat="false" ht="15" hidden="false" customHeight="false" outlineLevel="0" collapsed="false">
      <c r="B181" s="31" t="str">
        <f aca="false">IF(C181="","",ROW()-5)</f>
        <v/>
      </c>
      <c r="C181" s="32"/>
      <c r="D181" s="33"/>
      <c r="E181" s="33"/>
      <c r="F181" s="34"/>
      <c r="G181" s="33"/>
      <c r="H181" s="34"/>
      <c r="I181" s="35"/>
      <c r="J181" s="36" t="str">
        <f aca="false">IF(OR(C181="",I181=""),"",IF(E181=Pengaturan!$J$19,I181,0))</f>
        <v/>
      </c>
      <c r="K181" s="36" t="str">
        <f aca="false">IF(OR(C181="",I181=""),"",IF(E181=Pengaturan!$J$20,I181,0))</f>
        <v/>
      </c>
      <c r="L181" s="31" t="str">
        <f aca="false">IF(C181="","",MONTH(C181))</f>
        <v/>
      </c>
      <c r="M181" s="34"/>
      <c r="N181" s="34"/>
      <c r="O181" s="34"/>
    </row>
    <row r="182" customFormat="false" ht="15" hidden="false" customHeight="false" outlineLevel="0" collapsed="false">
      <c r="B182" s="31" t="str">
        <f aca="false">IF(C182="","",ROW()-5)</f>
        <v/>
      </c>
      <c r="C182" s="32"/>
      <c r="D182" s="33"/>
      <c r="E182" s="33"/>
      <c r="F182" s="34"/>
      <c r="G182" s="33"/>
      <c r="H182" s="34"/>
      <c r="I182" s="35"/>
      <c r="J182" s="36" t="str">
        <f aca="false">IF(OR(C182="",I182=""),"",IF(E182=Pengaturan!$J$19,I182,0))</f>
        <v/>
      </c>
      <c r="K182" s="36" t="str">
        <f aca="false">IF(OR(C182="",I182=""),"",IF(E182=Pengaturan!$J$20,I182,0))</f>
        <v/>
      </c>
      <c r="L182" s="31" t="str">
        <f aca="false">IF(C182="","",MONTH(C182))</f>
        <v/>
      </c>
      <c r="M182" s="34"/>
      <c r="N182" s="34"/>
      <c r="O182" s="34"/>
    </row>
    <row r="183" customFormat="false" ht="15" hidden="false" customHeight="false" outlineLevel="0" collapsed="false">
      <c r="B183" s="31" t="str">
        <f aca="false">IF(C183="","",ROW()-5)</f>
        <v/>
      </c>
      <c r="C183" s="32"/>
      <c r="D183" s="33"/>
      <c r="E183" s="33"/>
      <c r="F183" s="34"/>
      <c r="G183" s="33"/>
      <c r="H183" s="34"/>
      <c r="I183" s="35"/>
      <c r="J183" s="36" t="str">
        <f aca="false">IF(OR(C183="",I183=""),"",IF(E183=Pengaturan!$J$19,I183,0))</f>
        <v/>
      </c>
      <c r="K183" s="36" t="str">
        <f aca="false">IF(OR(C183="",I183=""),"",IF(E183=Pengaturan!$J$20,I183,0))</f>
        <v/>
      </c>
      <c r="L183" s="31" t="str">
        <f aca="false">IF(C183="","",MONTH(C183))</f>
        <v/>
      </c>
      <c r="M183" s="34"/>
      <c r="N183" s="34"/>
      <c r="O183" s="34"/>
    </row>
    <row r="184" customFormat="false" ht="15" hidden="false" customHeight="false" outlineLevel="0" collapsed="false">
      <c r="B184" s="31" t="str">
        <f aca="false">IF(C184="","",ROW()-5)</f>
        <v/>
      </c>
      <c r="C184" s="32"/>
      <c r="D184" s="33"/>
      <c r="E184" s="33"/>
      <c r="F184" s="34"/>
      <c r="G184" s="33"/>
      <c r="H184" s="34"/>
      <c r="I184" s="35"/>
      <c r="J184" s="36" t="str">
        <f aca="false">IF(OR(C184="",I184=""),"",IF(E184=Pengaturan!$J$19,I184,0))</f>
        <v/>
      </c>
      <c r="K184" s="36" t="str">
        <f aca="false">IF(OR(C184="",I184=""),"",IF(E184=Pengaturan!$J$20,I184,0))</f>
        <v/>
      </c>
      <c r="L184" s="31" t="str">
        <f aca="false">IF(C184="","",MONTH(C184))</f>
        <v/>
      </c>
      <c r="M184" s="34"/>
      <c r="N184" s="34"/>
      <c r="O184" s="34"/>
    </row>
    <row r="185" customFormat="false" ht="15" hidden="false" customHeight="false" outlineLevel="0" collapsed="false">
      <c r="B185" s="31" t="str">
        <f aca="false">IF(C185="","",ROW()-5)</f>
        <v/>
      </c>
      <c r="C185" s="32"/>
      <c r="D185" s="33"/>
      <c r="E185" s="33"/>
      <c r="F185" s="34"/>
      <c r="G185" s="33"/>
      <c r="H185" s="34"/>
      <c r="I185" s="35"/>
      <c r="J185" s="36" t="str">
        <f aca="false">IF(OR(C185="",I185=""),"",IF(E185=Pengaturan!$J$19,I185,0))</f>
        <v/>
      </c>
      <c r="K185" s="36" t="str">
        <f aca="false">IF(OR(C185="",I185=""),"",IF(E185=Pengaturan!$J$20,I185,0))</f>
        <v/>
      </c>
      <c r="L185" s="31" t="str">
        <f aca="false">IF(C185="","",MONTH(C185))</f>
        <v/>
      </c>
      <c r="M185" s="34"/>
      <c r="N185" s="34"/>
      <c r="O185" s="34"/>
    </row>
    <row r="186" customFormat="false" ht="15" hidden="false" customHeight="false" outlineLevel="0" collapsed="false">
      <c r="B186" s="31" t="str">
        <f aca="false">IF(C186="","",ROW()-5)</f>
        <v/>
      </c>
      <c r="C186" s="32"/>
      <c r="D186" s="33"/>
      <c r="E186" s="33"/>
      <c r="F186" s="34"/>
      <c r="G186" s="33"/>
      <c r="H186" s="34"/>
      <c r="I186" s="35"/>
      <c r="J186" s="36" t="str">
        <f aca="false">IF(OR(C186="",I186=""),"",IF(E186=Pengaturan!$J$19,I186,0))</f>
        <v/>
      </c>
      <c r="K186" s="36" t="str">
        <f aca="false">IF(OR(C186="",I186=""),"",IF(E186=Pengaturan!$J$20,I186,0))</f>
        <v/>
      </c>
      <c r="L186" s="31" t="str">
        <f aca="false">IF(C186="","",MONTH(C186))</f>
        <v/>
      </c>
      <c r="M186" s="34"/>
      <c r="N186" s="34"/>
      <c r="O186" s="34"/>
    </row>
    <row r="187" customFormat="false" ht="15" hidden="false" customHeight="false" outlineLevel="0" collapsed="false">
      <c r="B187" s="31" t="str">
        <f aca="false">IF(C187="","",ROW()-5)</f>
        <v/>
      </c>
      <c r="C187" s="32"/>
      <c r="D187" s="33"/>
      <c r="E187" s="33"/>
      <c r="F187" s="34"/>
      <c r="G187" s="33"/>
      <c r="H187" s="34"/>
      <c r="I187" s="35"/>
      <c r="J187" s="36" t="str">
        <f aca="false">IF(OR(C187="",I187=""),"",IF(E187=Pengaturan!$J$19,I187,0))</f>
        <v/>
      </c>
      <c r="K187" s="36" t="str">
        <f aca="false">IF(OR(C187="",I187=""),"",IF(E187=Pengaturan!$J$20,I187,0))</f>
        <v/>
      </c>
      <c r="L187" s="31" t="str">
        <f aca="false">IF(C187="","",MONTH(C187))</f>
        <v/>
      </c>
      <c r="M187" s="34"/>
      <c r="N187" s="34"/>
      <c r="O187" s="34"/>
    </row>
    <row r="188" customFormat="false" ht="15" hidden="false" customHeight="false" outlineLevel="0" collapsed="false">
      <c r="B188" s="31" t="str">
        <f aca="false">IF(C188="","",ROW()-5)</f>
        <v/>
      </c>
      <c r="C188" s="32"/>
      <c r="D188" s="33"/>
      <c r="E188" s="33"/>
      <c r="F188" s="34"/>
      <c r="G188" s="33"/>
      <c r="H188" s="34"/>
      <c r="I188" s="35"/>
      <c r="J188" s="36" t="str">
        <f aca="false">IF(OR(C188="",I188=""),"",IF(E188=Pengaturan!$J$19,I188,0))</f>
        <v/>
      </c>
      <c r="K188" s="36" t="str">
        <f aca="false">IF(OR(C188="",I188=""),"",IF(E188=Pengaturan!$J$20,I188,0))</f>
        <v/>
      </c>
      <c r="L188" s="31" t="str">
        <f aca="false">IF(C188="","",MONTH(C188))</f>
        <v/>
      </c>
      <c r="M188" s="34"/>
      <c r="N188" s="34"/>
      <c r="O188" s="34"/>
    </row>
    <row r="189" customFormat="false" ht="15" hidden="false" customHeight="false" outlineLevel="0" collapsed="false">
      <c r="B189" s="31" t="str">
        <f aca="false">IF(C189="","",ROW()-5)</f>
        <v/>
      </c>
      <c r="C189" s="32"/>
      <c r="D189" s="33"/>
      <c r="E189" s="33"/>
      <c r="F189" s="34"/>
      <c r="G189" s="33"/>
      <c r="H189" s="34"/>
      <c r="I189" s="35"/>
      <c r="J189" s="36" t="str">
        <f aca="false">IF(OR(C189="",I189=""),"",IF(E189=Pengaturan!$J$19,I189,0))</f>
        <v/>
      </c>
      <c r="K189" s="36" t="str">
        <f aca="false">IF(OR(C189="",I189=""),"",IF(E189=Pengaturan!$J$20,I189,0))</f>
        <v/>
      </c>
      <c r="L189" s="31" t="str">
        <f aca="false">IF(C189="","",MONTH(C189))</f>
        <v/>
      </c>
      <c r="M189" s="34"/>
      <c r="N189" s="34"/>
      <c r="O189" s="34"/>
    </row>
    <row r="190" customFormat="false" ht="15" hidden="false" customHeight="false" outlineLevel="0" collapsed="false">
      <c r="B190" s="31" t="str">
        <f aca="false">IF(C190="","",ROW()-5)</f>
        <v/>
      </c>
      <c r="C190" s="32"/>
      <c r="D190" s="33"/>
      <c r="E190" s="33"/>
      <c r="F190" s="34"/>
      <c r="G190" s="33"/>
      <c r="H190" s="34"/>
      <c r="I190" s="35"/>
      <c r="J190" s="36" t="str">
        <f aca="false">IF(OR(C190="",I190=""),"",IF(E190=Pengaturan!$J$19,I190,0))</f>
        <v/>
      </c>
      <c r="K190" s="36" t="str">
        <f aca="false">IF(OR(C190="",I190=""),"",IF(E190=Pengaturan!$J$20,I190,0))</f>
        <v/>
      </c>
      <c r="L190" s="31" t="str">
        <f aca="false">IF(C190="","",MONTH(C190))</f>
        <v/>
      </c>
      <c r="M190" s="34"/>
      <c r="N190" s="34"/>
      <c r="O190" s="34"/>
    </row>
    <row r="191" customFormat="false" ht="15" hidden="false" customHeight="false" outlineLevel="0" collapsed="false">
      <c r="B191" s="31" t="str">
        <f aca="false">IF(C191="","",ROW()-5)</f>
        <v/>
      </c>
      <c r="C191" s="32"/>
      <c r="D191" s="33"/>
      <c r="E191" s="33"/>
      <c r="F191" s="34"/>
      <c r="G191" s="33"/>
      <c r="H191" s="34"/>
      <c r="I191" s="35"/>
      <c r="J191" s="36" t="str">
        <f aca="false">IF(OR(C191="",I191=""),"",IF(E191=Pengaturan!$J$19,I191,0))</f>
        <v/>
      </c>
      <c r="K191" s="36" t="str">
        <f aca="false">IF(OR(C191="",I191=""),"",IF(E191=Pengaturan!$J$20,I191,0))</f>
        <v/>
      </c>
      <c r="L191" s="31" t="str">
        <f aca="false">IF(C191="","",MONTH(C191))</f>
        <v/>
      </c>
      <c r="M191" s="34"/>
      <c r="N191" s="34"/>
      <c r="O191" s="34"/>
    </row>
    <row r="192" customFormat="false" ht="15" hidden="false" customHeight="false" outlineLevel="0" collapsed="false">
      <c r="B192" s="31" t="str">
        <f aca="false">IF(C192="","",ROW()-5)</f>
        <v/>
      </c>
      <c r="C192" s="32"/>
      <c r="D192" s="33"/>
      <c r="E192" s="33"/>
      <c r="F192" s="34"/>
      <c r="G192" s="33"/>
      <c r="H192" s="34"/>
      <c r="I192" s="35"/>
      <c r="J192" s="36" t="str">
        <f aca="false">IF(OR(C192="",I192=""),"",IF(E192=Pengaturan!$J$19,I192,0))</f>
        <v/>
      </c>
      <c r="K192" s="36" t="str">
        <f aca="false">IF(OR(C192="",I192=""),"",IF(E192=Pengaturan!$J$20,I192,0))</f>
        <v/>
      </c>
      <c r="L192" s="31" t="str">
        <f aca="false">IF(C192="","",MONTH(C192))</f>
        <v/>
      </c>
      <c r="M192" s="34"/>
      <c r="N192" s="34"/>
      <c r="O192" s="34"/>
    </row>
    <row r="193" customFormat="false" ht="15" hidden="false" customHeight="false" outlineLevel="0" collapsed="false">
      <c r="B193" s="31" t="str">
        <f aca="false">IF(C193="","",ROW()-5)</f>
        <v/>
      </c>
      <c r="C193" s="32"/>
      <c r="D193" s="33"/>
      <c r="E193" s="33"/>
      <c r="F193" s="34"/>
      <c r="G193" s="33"/>
      <c r="H193" s="34"/>
      <c r="I193" s="35"/>
      <c r="J193" s="36" t="str">
        <f aca="false">IF(OR(C193="",I193=""),"",IF(E193=Pengaturan!$J$19,I193,0))</f>
        <v/>
      </c>
      <c r="K193" s="36" t="str">
        <f aca="false">IF(OR(C193="",I193=""),"",IF(E193=Pengaturan!$J$20,I193,0))</f>
        <v/>
      </c>
      <c r="L193" s="31" t="str">
        <f aca="false">IF(C193="","",MONTH(C193))</f>
        <v/>
      </c>
      <c r="M193" s="34"/>
      <c r="N193" s="34"/>
      <c r="O193" s="34"/>
    </row>
    <row r="194" customFormat="false" ht="15" hidden="false" customHeight="false" outlineLevel="0" collapsed="false">
      <c r="B194" s="31" t="str">
        <f aca="false">IF(C194="","",ROW()-5)</f>
        <v/>
      </c>
      <c r="C194" s="32"/>
      <c r="D194" s="33"/>
      <c r="E194" s="33"/>
      <c r="F194" s="34"/>
      <c r="G194" s="33"/>
      <c r="H194" s="34"/>
      <c r="I194" s="35"/>
      <c r="J194" s="36" t="str">
        <f aca="false">IF(OR(C194="",I194=""),"",IF(E194=Pengaturan!$J$19,I194,0))</f>
        <v/>
      </c>
      <c r="K194" s="36" t="str">
        <f aca="false">IF(OR(C194="",I194=""),"",IF(E194=Pengaturan!$J$20,I194,0))</f>
        <v/>
      </c>
      <c r="L194" s="31" t="str">
        <f aca="false">IF(C194="","",MONTH(C194))</f>
        <v/>
      </c>
      <c r="M194" s="34"/>
      <c r="N194" s="34"/>
      <c r="O194" s="34"/>
    </row>
    <row r="195" customFormat="false" ht="15" hidden="false" customHeight="false" outlineLevel="0" collapsed="false">
      <c r="B195" s="31" t="str">
        <f aca="false">IF(C195="","",ROW()-5)</f>
        <v/>
      </c>
      <c r="C195" s="32"/>
      <c r="D195" s="33"/>
      <c r="E195" s="33"/>
      <c r="F195" s="34"/>
      <c r="G195" s="33"/>
      <c r="H195" s="34"/>
      <c r="I195" s="35"/>
      <c r="J195" s="36" t="str">
        <f aca="false">IF(OR(C195="",I195=""),"",IF(E195=Pengaturan!$J$19,I195,0))</f>
        <v/>
      </c>
      <c r="K195" s="36" t="str">
        <f aca="false">IF(OR(C195="",I195=""),"",IF(E195=Pengaturan!$J$20,I195,0))</f>
        <v/>
      </c>
      <c r="L195" s="31" t="str">
        <f aca="false">IF(C195="","",MONTH(C195))</f>
        <v/>
      </c>
      <c r="M195" s="34"/>
      <c r="N195" s="34"/>
      <c r="O195" s="34"/>
    </row>
    <row r="196" customFormat="false" ht="15" hidden="false" customHeight="false" outlineLevel="0" collapsed="false">
      <c r="B196" s="31" t="str">
        <f aca="false">IF(C196="","",ROW()-5)</f>
        <v/>
      </c>
      <c r="C196" s="32"/>
      <c r="D196" s="33"/>
      <c r="E196" s="33"/>
      <c r="F196" s="34"/>
      <c r="G196" s="33"/>
      <c r="H196" s="34"/>
      <c r="I196" s="35"/>
      <c r="J196" s="36" t="str">
        <f aca="false">IF(OR(C196="",I196=""),"",IF(E196=Pengaturan!$J$19,I196,0))</f>
        <v/>
      </c>
      <c r="K196" s="36" t="str">
        <f aca="false">IF(OR(C196="",I196=""),"",IF(E196=Pengaturan!$J$20,I196,0))</f>
        <v/>
      </c>
      <c r="L196" s="31" t="str">
        <f aca="false">IF(C196="","",MONTH(C196))</f>
        <v/>
      </c>
      <c r="M196" s="34"/>
      <c r="N196" s="34"/>
      <c r="O196" s="34"/>
    </row>
    <row r="197" customFormat="false" ht="15" hidden="false" customHeight="false" outlineLevel="0" collapsed="false">
      <c r="B197" s="31" t="str">
        <f aca="false">IF(C197="","",ROW()-5)</f>
        <v/>
      </c>
      <c r="C197" s="32"/>
      <c r="D197" s="33"/>
      <c r="E197" s="33"/>
      <c r="F197" s="34"/>
      <c r="G197" s="33"/>
      <c r="H197" s="34"/>
      <c r="I197" s="35"/>
      <c r="J197" s="36" t="str">
        <f aca="false">IF(OR(C197="",I197=""),"",IF(E197=Pengaturan!$J$19,I197,0))</f>
        <v/>
      </c>
      <c r="K197" s="36" t="str">
        <f aca="false">IF(OR(C197="",I197=""),"",IF(E197=Pengaturan!$J$20,I197,0))</f>
        <v/>
      </c>
      <c r="L197" s="31" t="str">
        <f aca="false">IF(C197="","",MONTH(C197))</f>
        <v/>
      </c>
      <c r="M197" s="34"/>
      <c r="N197" s="34"/>
      <c r="O197" s="34"/>
    </row>
    <row r="198" customFormat="false" ht="15" hidden="false" customHeight="false" outlineLevel="0" collapsed="false">
      <c r="B198" s="31" t="str">
        <f aca="false">IF(C198="","",ROW()-5)</f>
        <v/>
      </c>
      <c r="C198" s="32"/>
      <c r="D198" s="33"/>
      <c r="E198" s="33"/>
      <c r="F198" s="34"/>
      <c r="G198" s="33"/>
      <c r="H198" s="34"/>
      <c r="I198" s="35"/>
      <c r="J198" s="36" t="str">
        <f aca="false">IF(OR(C198="",I198=""),"",IF(E198=Pengaturan!$J$19,I198,0))</f>
        <v/>
      </c>
      <c r="K198" s="36" t="str">
        <f aca="false">IF(OR(C198="",I198=""),"",IF(E198=Pengaturan!$J$20,I198,0))</f>
        <v/>
      </c>
      <c r="L198" s="31" t="str">
        <f aca="false">IF(C198="","",MONTH(C198))</f>
        <v/>
      </c>
      <c r="M198" s="34"/>
      <c r="N198" s="34"/>
      <c r="O198" s="34"/>
    </row>
    <row r="199" customFormat="false" ht="15" hidden="false" customHeight="false" outlineLevel="0" collapsed="false">
      <c r="B199" s="31" t="str">
        <f aca="false">IF(C199="","",ROW()-5)</f>
        <v/>
      </c>
      <c r="C199" s="32"/>
      <c r="D199" s="33"/>
      <c r="E199" s="33"/>
      <c r="F199" s="34"/>
      <c r="G199" s="33"/>
      <c r="H199" s="34"/>
      <c r="I199" s="35"/>
      <c r="J199" s="36" t="str">
        <f aca="false">IF(OR(C199="",I199=""),"",IF(E199=Pengaturan!$J$19,I199,0))</f>
        <v/>
      </c>
      <c r="K199" s="36" t="str">
        <f aca="false">IF(OR(C199="",I199=""),"",IF(E199=Pengaturan!$J$20,I199,0))</f>
        <v/>
      </c>
      <c r="L199" s="31" t="str">
        <f aca="false">IF(C199="","",MONTH(C199))</f>
        <v/>
      </c>
      <c r="M199" s="34"/>
      <c r="N199" s="34"/>
      <c r="O199" s="34"/>
    </row>
    <row r="200" customFormat="false" ht="15" hidden="false" customHeight="false" outlineLevel="0" collapsed="false">
      <c r="B200" s="31" t="str">
        <f aca="false">IF(C200="","",ROW()-5)</f>
        <v/>
      </c>
      <c r="C200" s="32"/>
      <c r="D200" s="33"/>
      <c r="E200" s="33"/>
      <c r="F200" s="34"/>
      <c r="G200" s="33"/>
      <c r="H200" s="34"/>
      <c r="I200" s="35"/>
      <c r="J200" s="36" t="str">
        <f aca="false">IF(OR(C200="",I200=""),"",IF(E200=Pengaturan!$J$19,I200,0))</f>
        <v/>
      </c>
      <c r="K200" s="36" t="str">
        <f aca="false">IF(OR(C200="",I200=""),"",IF(E200=Pengaturan!$J$20,I200,0))</f>
        <v/>
      </c>
      <c r="L200" s="31" t="str">
        <f aca="false">IF(C200="","",MONTH(C200))</f>
        <v/>
      </c>
      <c r="M200" s="34"/>
      <c r="N200" s="34"/>
      <c r="O200" s="34"/>
    </row>
    <row r="201" customFormat="false" ht="15" hidden="false" customHeight="false" outlineLevel="0" collapsed="false">
      <c r="B201" s="31" t="str">
        <f aca="false">IF(C201="","",ROW()-5)</f>
        <v/>
      </c>
      <c r="C201" s="32"/>
      <c r="D201" s="33"/>
      <c r="E201" s="33"/>
      <c r="F201" s="34"/>
      <c r="G201" s="33"/>
      <c r="H201" s="34"/>
      <c r="I201" s="35"/>
      <c r="J201" s="36" t="str">
        <f aca="false">IF(OR(C201="",I201=""),"",IF(E201=Pengaturan!$J$19,I201,0))</f>
        <v/>
      </c>
      <c r="K201" s="36" t="str">
        <f aca="false">IF(OR(C201="",I201=""),"",IF(E201=Pengaturan!$J$20,I201,0))</f>
        <v/>
      </c>
      <c r="L201" s="31" t="str">
        <f aca="false">IF(C201="","",MONTH(C201))</f>
        <v/>
      </c>
      <c r="M201" s="34"/>
      <c r="N201" s="34"/>
      <c r="O201" s="34"/>
    </row>
    <row r="202" customFormat="false" ht="15" hidden="false" customHeight="false" outlineLevel="0" collapsed="false">
      <c r="B202" s="31" t="str">
        <f aca="false">IF(C202="","",ROW()-5)</f>
        <v/>
      </c>
      <c r="C202" s="32"/>
      <c r="D202" s="33"/>
      <c r="E202" s="33"/>
      <c r="F202" s="34"/>
      <c r="G202" s="33"/>
      <c r="H202" s="34"/>
      <c r="I202" s="35"/>
      <c r="J202" s="36" t="str">
        <f aca="false">IF(OR(C202="",I202=""),"",IF(E202=Pengaturan!$J$19,I202,0))</f>
        <v/>
      </c>
      <c r="K202" s="36" t="str">
        <f aca="false">IF(OR(C202="",I202=""),"",IF(E202=Pengaturan!$J$20,I202,0))</f>
        <v/>
      </c>
      <c r="L202" s="31" t="str">
        <f aca="false">IF(C202="","",MONTH(C202))</f>
        <v/>
      </c>
      <c r="M202" s="34"/>
      <c r="N202" s="34"/>
      <c r="O202" s="34"/>
    </row>
    <row r="203" customFormat="false" ht="15" hidden="false" customHeight="false" outlineLevel="0" collapsed="false">
      <c r="B203" s="31" t="str">
        <f aca="false">IF(C203="","",ROW()-5)</f>
        <v/>
      </c>
      <c r="C203" s="32"/>
      <c r="D203" s="33"/>
      <c r="E203" s="33"/>
      <c r="F203" s="34"/>
      <c r="G203" s="33"/>
      <c r="H203" s="34"/>
      <c r="I203" s="35"/>
      <c r="J203" s="36" t="str">
        <f aca="false">IF(OR(C203="",I203=""),"",IF(E203=Pengaturan!$J$19,I203,0))</f>
        <v/>
      </c>
      <c r="K203" s="36" t="str">
        <f aca="false">IF(OR(C203="",I203=""),"",IF(E203=Pengaturan!$J$20,I203,0))</f>
        <v/>
      </c>
      <c r="L203" s="31" t="str">
        <f aca="false">IF(C203="","",MONTH(C203))</f>
        <v/>
      </c>
      <c r="M203" s="34"/>
      <c r="N203" s="34"/>
      <c r="O203" s="34"/>
    </row>
    <row r="204" customFormat="false" ht="15" hidden="false" customHeight="false" outlineLevel="0" collapsed="false">
      <c r="B204" s="31" t="str">
        <f aca="false">IF(C204="","",ROW()-5)</f>
        <v/>
      </c>
      <c r="C204" s="32"/>
      <c r="D204" s="33"/>
      <c r="E204" s="33"/>
      <c r="F204" s="34"/>
      <c r="G204" s="33"/>
      <c r="H204" s="34"/>
      <c r="I204" s="35"/>
      <c r="J204" s="36" t="str">
        <f aca="false">IF(OR(C204="",I204=""),"",IF(E204=Pengaturan!$J$19,I204,0))</f>
        <v/>
      </c>
      <c r="K204" s="36" t="str">
        <f aca="false">IF(OR(C204="",I204=""),"",IF(E204=Pengaturan!$J$20,I204,0))</f>
        <v/>
      </c>
      <c r="L204" s="31" t="str">
        <f aca="false">IF(C204="","",MONTH(C204))</f>
        <v/>
      </c>
      <c r="M204" s="34"/>
      <c r="N204" s="34"/>
      <c r="O204" s="34"/>
    </row>
    <row r="205" customFormat="false" ht="15" hidden="false" customHeight="false" outlineLevel="0" collapsed="false">
      <c r="B205" s="31" t="str">
        <f aca="false">IF(C205="","",ROW()-5)</f>
        <v/>
      </c>
      <c r="C205" s="32"/>
      <c r="D205" s="33"/>
      <c r="E205" s="33"/>
      <c r="F205" s="34"/>
      <c r="G205" s="33"/>
      <c r="H205" s="34"/>
      <c r="I205" s="35"/>
      <c r="J205" s="36" t="str">
        <f aca="false">IF(OR(C205="",I205=""),"",IF(E205=Pengaturan!$J$19,I205,0))</f>
        <v/>
      </c>
      <c r="K205" s="36" t="str">
        <f aca="false">IF(OR(C205="",I205=""),"",IF(E205=Pengaturan!$J$20,I205,0))</f>
        <v/>
      </c>
      <c r="L205" s="31" t="str">
        <f aca="false">IF(C205="","",MONTH(C205))</f>
        <v/>
      </c>
      <c r="M205" s="34"/>
      <c r="N205" s="34"/>
      <c r="O205" s="34"/>
    </row>
    <row r="206" customFormat="false" ht="15" hidden="false" customHeight="false" outlineLevel="0" collapsed="false">
      <c r="B206" s="31" t="str">
        <f aca="false">IF(C206="","",ROW()-5)</f>
        <v/>
      </c>
      <c r="C206" s="32"/>
      <c r="D206" s="33"/>
      <c r="E206" s="33"/>
      <c r="F206" s="34"/>
      <c r="G206" s="33"/>
      <c r="H206" s="34"/>
      <c r="I206" s="35"/>
      <c r="J206" s="36" t="str">
        <f aca="false">IF(OR(C206="",I206=""),"",IF(E206=Pengaturan!$J$19,I206,0))</f>
        <v/>
      </c>
      <c r="K206" s="36" t="str">
        <f aca="false">IF(OR(C206="",I206=""),"",IF(E206=Pengaturan!$J$20,I206,0))</f>
        <v/>
      </c>
      <c r="L206" s="31" t="str">
        <f aca="false">IF(C206="","",MONTH(C206))</f>
        <v/>
      </c>
      <c r="M206" s="34"/>
      <c r="N206" s="34"/>
      <c r="O206" s="34"/>
    </row>
    <row r="207" customFormat="false" ht="15" hidden="false" customHeight="false" outlineLevel="0" collapsed="false">
      <c r="B207" s="31" t="str">
        <f aca="false">IF(C207="","",ROW()-5)</f>
        <v/>
      </c>
      <c r="C207" s="32"/>
      <c r="D207" s="33"/>
      <c r="E207" s="33"/>
      <c r="F207" s="34"/>
      <c r="G207" s="33"/>
      <c r="H207" s="34"/>
      <c r="I207" s="35"/>
      <c r="J207" s="36" t="str">
        <f aca="false">IF(OR(C207="",I207=""),"",IF(E207=Pengaturan!$J$19,I207,0))</f>
        <v/>
      </c>
      <c r="K207" s="36" t="str">
        <f aca="false">IF(OR(C207="",I207=""),"",IF(E207=Pengaturan!$J$20,I207,0))</f>
        <v/>
      </c>
      <c r="L207" s="31" t="str">
        <f aca="false">IF(C207="","",MONTH(C207))</f>
        <v/>
      </c>
      <c r="M207" s="34"/>
      <c r="N207" s="34"/>
      <c r="O207" s="34"/>
    </row>
    <row r="208" customFormat="false" ht="15" hidden="false" customHeight="false" outlineLevel="0" collapsed="false">
      <c r="B208" s="31" t="str">
        <f aca="false">IF(C208="","",ROW()-5)</f>
        <v/>
      </c>
      <c r="C208" s="32"/>
      <c r="D208" s="33"/>
      <c r="E208" s="33"/>
      <c r="F208" s="34"/>
      <c r="G208" s="33"/>
      <c r="H208" s="34"/>
      <c r="I208" s="35"/>
      <c r="J208" s="36" t="str">
        <f aca="false">IF(OR(C208="",I208=""),"",IF(E208=Pengaturan!$J$19,I208,0))</f>
        <v/>
      </c>
      <c r="K208" s="36" t="str">
        <f aca="false">IF(OR(C208="",I208=""),"",IF(E208=Pengaturan!$J$20,I208,0))</f>
        <v/>
      </c>
      <c r="L208" s="31" t="str">
        <f aca="false">IF(C208="","",MONTH(C208))</f>
        <v/>
      </c>
      <c r="M208" s="34"/>
      <c r="N208" s="34"/>
      <c r="O208" s="34"/>
    </row>
    <row r="209" customFormat="false" ht="15" hidden="false" customHeight="false" outlineLevel="0" collapsed="false">
      <c r="B209" s="31" t="str">
        <f aca="false">IF(C209="","",ROW()-5)</f>
        <v/>
      </c>
      <c r="C209" s="32"/>
      <c r="D209" s="33"/>
      <c r="E209" s="33"/>
      <c r="F209" s="34"/>
      <c r="G209" s="33"/>
      <c r="H209" s="34"/>
      <c r="I209" s="35"/>
      <c r="J209" s="36" t="str">
        <f aca="false">IF(OR(C209="",I209=""),"",IF(E209=Pengaturan!$J$19,I209,0))</f>
        <v/>
      </c>
      <c r="K209" s="36" t="str">
        <f aca="false">IF(OR(C209="",I209=""),"",IF(E209=Pengaturan!$J$20,I209,0))</f>
        <v/>
      </c>
      <c r="L209" s="31" t="str">
        <f aca="false">IF(C209="","",MONTH(C209))</f>
        <v/>
      </c>
      <c r="M209" s="34"/>
      <c r="N209" s="34"/>
      <c r="O209" s="34"/>
    </row>
    <row r="210" customFormat="false" ht="15" hidden="false" customHeight="false" outlineLevel="0" collapsed="false">
      <c r="B210" s="31" t="str">
        <f aca="false">IF(C210="","",ROW()-5)</f>
        <v/>
      </c>
      <c r="C210" s="32"/>
      <c r="D210" s="33"/>
      <c r="E210" s="33"/>
      <c r="F210" s="34"/>
      <c r="G210" s="33"/>
      <c r="H210" s="34"/>
      <c r="I210" s="35"/>
      <c r="J210" s="36" t="str">
        <f aca="false">IF(OR(C210="",I210=""),"",IF(E210=Pengaturan!$J$19,I210,0))</f>
        <v/>
      </c>
      <c r="K210" s="36" t="str">
        <f aca="false">IF(OR(C210="",I210=""),"",IF(E210=Pengaturan!$J$20,I210,0))</f>
        <v/>
      </c>
      <c r="L210" s="31" t="str">
        <f aca="false">IF(C210="","",MONTH(C210))</f>
        <v/>
      </c>
      <c r="M210" s="34"/>
      <c r="N210" s="34"/>
      <c r="O210" s="34"/>
    </row>
    <row r="211" customFormat="false" ht="15" hidden="false" customHeight="false" outlineLevel="0" collapsed="false">
      <c r="B211" s="31" t="str">
        <f aca="false">IF(C211="","",ROW()-5)</f>
        <v/>
      </c>
      <c r="C211" s="32"/>
      <c r="D211" s="33"/>
      <c r="E211" s="33"/>
      <c r="F211" s="34"/>
      <c r="G211" s="33"/>
      <c r="H211" s="34"/>
      <c r="I211" s="35"/>
      <c r="J211" s="36" t="str">
        <f aca="false">IF(OR(C211="",I211=""),"",IF(E211=Pengaturan!$J$19,I211,0))</f>
        <v/>
      </c>
      <c r="K211" s="36" t="str">
        <f aca="false">IF(OR(C211="",I211=""),"",IF(E211=Pengaturan!$J$20,I211,0))</f>
        <v/>
      </c>
      <c r="L211" s="31" t="str">
        <f aca="false">IF(C211="","",MONTH(C211))</f>
        <v/>
      </c>
      <c r="M211" s="34"/>
      <c r="N211" s="34"/>
      <c r="O211" s="34"/>
    </row>
    <row r="212" customFormat="false" ht="15" hidden="false" customHeight="false" outlineLevel="0" collapsed="false">
      <c r="B212" s="31" t="str">
        <f aca="false">IF(C212="","",ROW()-5)</f>
        <v/>
      </c>
      <c r="C212" s="32"/>
      <c r="D212" s="33"/>
      <c r="E212" s="33"/>
      <c r="F212" s="34"/>
      <c r="G212" s="33"/>
      <c r="H212" s="34"/>
      <c r="I212" s="35"/>
      <c r="J212" s="36" t="str">
        <f aca="false">IF(OR(C212="",I212=""),"",IF(E212=Pengaturan!$J$19,I212,0))</f>
        <v/>
      </c>
      <c r="K212" s="36" t="str">
        <f aca="false">IF(OR(C212="",I212=""),"",IF(E212=Pengaturan!$J$20,I212,0))</f>
        <v/>
      </c>
      <c r="L212" s="31" t="str">
        <f aca="false">IF(C212="","",MONTH(C212))</f>
        <v/>
      </c>
      <c r="M212" s="34"/>
      <c r="N212" s="34"/>
      <c r="O212" s="34"/>
    </row>
    <row r="213" customFormat="false" ht="15" hidden="false" customHeight="false" outlineLevel="0" collapsed="false">
      <c r="B213" s="31" t="str">
        <f aca="false">IF(C213="","",ROW()-5)</f>
        <v/>
      </c>
      <c r="C213" s="32"/>
      <c r="D213" s="33"/>
      <c r="E213" s="33"/>
      <c r="F213" s="34"/>
      <c r="G213" s="33"/>
      <c r="H213" s="34"/>
      <c r="I213" s="35"/>
      <c r="J213" s="36" t="str">
        <f aca="false">IF(OR(C213="",I213=""),"",IF(E213=Pengaturan!$J$19,I213,0))</f>
        <v/>
      </c>
      <c r="K213" s="36" t="str">
        <f aca="false">IF(OR(C213="",I213=""),"",IF(E213=Pengaturan!$J$20,I213,0))</f>
        <v/>
      </c>
      <c r="L213" s="31" t="str">
        <f aca="false">IF(C213="","",MONTH(C213))</f>
        <v/>
      </c>
      <c r="M213" s="34"/>
      <c r="N213" s="34"/>
      <c r="O213" s="34"/>
    </row>
    <row r="214" customFormat="false" ht="15" hidden="false" customHeight="false" outlineLevel="0" collapsed="false">
      <c r="B214" s="31" t="str">
        <f aca="false">IF(C214="","",ROW()-5)</f>
        <v/>
      </c>
      <c r="C214" s="32"/>
      <c r="D214" s="33"/>
      <c r="E214" s="33"/>
      <c r="F214" s="34"/>
      <c r="G214" s="33"/>
      <c r="H214" s="34"/>
      <c r="I214" s="35"/>
      <c r="J214" s="36" t="str">
        <f aca="false">IF(OR(C214="",I214=""),"",IF(E214=Pengaturan!$J$19,I214,0))</f>
        <v/>
      </c>
      <c r="K214" s="36" t="str">
        <f aca="false">IF(OR(C214="",I214=""),"",IF(E214=Pengaturan!$J$20,I214,0))</f>
        <v/>
      </c>
      <c r="L214" s="31" t="str">
        <f aca="false">IF(C214="","",MONTH(C214))</f>
        <v/>
      </c>
      <c r="M214" s="34"/>
      <c r="N214" s="34"/>
      <c r="O214" s="34"/>
    </row>
    <row r="215" customFormat="false" ht="15" hidden="false" customHeight="false" outlineLevel="0" collapsed="false">
      <c r="B215" s="31" t="str">
        <f aca="false">IF(C215="","",ROW()-5)</f>
        <v/>
      </c>
      <c r="C215" s="32"/>
      <c r="D215" s="33"/>
      <c r="E215" s="33"/>
      <c r="F215" s="34"/>
      <c r="G215" s="33"/>
      <c r="H215" s="34"/>
      <c r="I215" s="35"/>
      <c r="J215" s="36" t="str">
        <f aca="false">IF(OR(C215="",I215=""),"",IF(E215=Pengaturan!$J$19,I215,0))</f>
        <v/>
      </c>
      <c r="K215" s="36" t="str">
        <f aca="false">IF(OR(C215="",I215=""),"",IF(E215=Pengaturan!$J$20,I215,0))</f>
        <v/>
      </c>
      <c r="L215" s="31" t="str">
        <f aca="false">IF(C215="","",MONTH(C215))</f>
        <v/>
      </c>
      <c r="M215" s="34"/>
      <c r="N215" s="34"/>
      <c r="O215" s="34"/>
    </row>
    <row r="216" customFormat="false" ht="15" hidden="false" customHeight="false" outlineLevel="0" collapsed="false">
      <c r="B216" s="31" t="str">
        <f aca="false">IF(C216="","",ROW()-5)</f>
        <v/>
      </c>
      <c r="C216" s="32"/>
      <c r="D216" s="33"/>
      <c r="E216" s="33"/>
      <c r="F216" s="34"/>
      <c r="G216" s="33"/>
      <c r="H216" s="34"/>
      <c r="I216" s="35"/>
      <c r="J216" s="36" t="str">
        <f aca="false">IF(OR(C216="",I216=""),"",IF(E216=Pengaturan!$J$19,I216,0))</f>
        <v/>
      </c>
      <c r="K216" s="36" t="str">
        <f aca="false">IF(OR(C216="",I216=""),"",IF(E216=Pengaturan!$J$20,I216,0))</f>
        <v/>
      </c>
      <c r="L216" s="31" t="str">
        <f aca="false">IF(C216="","",MONTH(C216))</f>
        <v/>
      </c>
      <c r="M216" s="34"/>
      <c r="N216" s="34"/>
      <c r="O216" s="34"/>
    </row>
    <row r="217" customFormat="false" ht="15" hidden="false" customHeight="false" outlineLevel="0" collapsed="false">
      <c r="B217" s="31" t="str">
        <f aca="false">IF(C217="","",ROW()-5)</f>
        <v/>
      </c>
      <c r="C217" s="32"/>
      <c r="D217" s="33"/>
      <c r="E217" s="33"/>
      <c r="F217" s="34"/>
      <c r="G217" s="33"/>
      <c r="H217" s="34"/>
      <c r="I217" s="35"/>
      <c r="J217" s="36" t="str">
        <f aca="false">IF(OR(C217="",I217=""),"",IF(E217=Pengaturan!$J$19,I217,0))</f>
        <v/>
      </c>
      <c r="K217" s="36" t="str">
        <f aca="false">IF(OR(C217="",I217=""),"",IF(E217=Pengaturan!$J$20,I217,0))</f>
        <v/>
      </c>
      <c r="L217" s="31" t="str">
        <f aca="false">IF(C217="","",MONTH(C217))</f>
        <v/>
      </c>
      <c r="M217" s="34"/>
      <c r="N217" s="34"/>
      <c r="O217" s="34"/>
    </row>
    <row r="218" customFormat="false" ht="15" hidden="false" customHeight="false" outlineLevel="0" collapsed="false">
      <c r="B218" s="31" t="str">
        <f aca="false">IF(C218="","",ROW()-5)</f>
        <v/>
      </c>
      <c r="C218" s="32"/>
      <c r="D218" s="33"/>
      <c r="E218" s="33"/>
      <c r="F218" s="34"/>
      <c r="G218" s="33"/>
      <c r="H218" s="34"/>
      <c r="I218" s="35"/>
      <c r="J218" s="36" t="str">
        <f aca="false">IF(OR(C218="",I218=""),"",IF(E218=Pengaturan!$J$19,I218,0))</f>
        <v/>
      </c>
      <c r="K218" s="36" t="str">
        <f aca="false">IF(OR(C218="",I218=""),"",IF(E218=Pengaturan!$J$20,I218,0))</f>
        <v/>
      </c>
      <c r="L218" s="31" t="str">
        <f aca="false">IF(C218="","",MONTH(C218))</f>
        <v/>
      </c>
      <c r="M218" s="34"/>
      <c r="N218" s="34"/>
      <c r="O218" s="34"/>
    </row>
    <row r="219" customFormat="false" ht="15" hidden="false" customHeight="false" outlineLevel="0" collapsed="false">
      <c r="B219" s="31" t="str">
        <f aca="false">IF(C219="","",ROW()-5)</f>
        <v/>
      </c>
      <c r="C219" s="32"/>
      <c r="D219" s="33"/>
      <c r="E219" s="33"/>
      <c r="F219" s="34"/>
      <c r="G219" s="33"/>
      <c r="H219" s="34"/>
      <c r="I219" s="35"/>
      <c r="J219" s="36" t="str">
        <f aca="false">IF(OR(C219="",I219=""),"",IF(E219=Pengaturan!$J$19,I219,0))</f>
        <v/>
      </c>
      <c r="K219" s="36" t="str">
        <f aca="false">IF(OR(C219="",I219=""),"",IF(E219=Pengaturan!$J$20,I219,0))</f>
        <v/>
      </c>
      <c r="L219" s="31" t="str">
        <f aca="false">IF(C219="","",MONTH(C219))</f>
        <v/>
      </c>
      <c r="M219" s="34"/>
      <c r="N219" s="34"/>
      <c r="O219" s="34"/>
    </row>
    <row r="220" customFormat="false" ht="15" hidden="false" customHeight="false" outlineLevel="0" collapsed="false">
      <c r="B220" s="31" t="str">
        <f aca="false">IF(C220="","",ROW()-5)</f>
        <v/>
      </c>
      <c r="C220" s="32"/>
      <c r="D220" s="33"/>
      <c r="E220" s="33"/>
      <c r="F220" s="34"/>
      <c r="G220" s="33"/>
      <c r="H220" s="34"/>
      <c r="I220" s="35"/>
      <c r="J220" s="36" t="str">
        <f aca="false">IF(OR(C220="",I220=""),"",IF(E220=Pengaturan!$J$19,I220,0))</f>
        <v/>
      </c>
      <c r="K220" s="36" t="str">
        <f aca="false">IF(OR(C220="",I220=""),"",IF(E220=Pengaturan!$J$20,I220,0))</f>
        <v/>
      </c>
      <c r="L220" s="31" t="str">
        <f aca="false">IF(C220="","",MONTH(C220))</f>
        <v/>
      </c>
      <c r="M220" s="34"/>
      <c r="N220" s="34"/>
      <c r="O220" s="34"/>
    </row>
    <row r="221" customFormat="false" ht="15" hidden="false" customHeight="false" outlineLevel="0" collapsed="false">
      <c r="B221" s="31" t="str">
        <f aca="false">IF(C221="","",ROW()-5)</f>
        <v/>
      </c>
      <c r="C221" s="32"/>
      <c r="D221" s="33"/>
      <c r="E221" s="33"/>
      <c r="F221" s="34"/>
      <c r="G221" s="33"/>
      <c r="H221" s="34"/>
      <c r="I221" s="35"/>
      <c r="J221" s="36" t="str">
        <f aca="false">IF(OR(C221="",I221=""),"",IF(E221=Pengaturan!$J$19,I221,0))</f>
        <v/>
      </c>
      <c r="K221" s="36" t="str">
        <f aca="false">IF(OR(C221="",I221=""),"",IF(E221=Pengaturan!$J$20,I221,0))</f>
        <v/>
      </c>
      <c r="L221" s="31" t="str">
        <f aca="false">IF(C221="","",MONTH(C221))</f>
        <v/>
      </c>
      <c r="M221" s="34"/>
      <c r="N221" s="34"/>
      <c r="O221" s="34"/>
    </row>
    <row r="222" customFormat="false" ht="15" hidden="false" customHeight="false" outlineLevel="0" collapsed="false">
      <c r="B222" s="31" t="str">
        <f aca="false">IF(C222="","",ROW()-5)</f>
        <v/>
      </c>
      <c r="C222" s="32"/>
      <c r="D222" s="33"/>
      <c r="E222" s="33"/>
      <c r="F222" s="34"/>
      <c r="G222" s="33"/>
      <c r="H222" s="34"/>
      <c r="I222" s="35"/>
      <c r="J222" s="36" t="str">
        <f aca="false">IF(OR(C222="",I222=""),"",IF(E222=Pengaturan!$J$19,I222,0))</f>
        <v/>
      </c>
      <c r="K222" s="36" t="str">
        <f aca="false">IF(OR(C222="",I222=""),"",IF(E222=Pengaturan!$J$20,I222,0))</f>
        <v/>
      </c>
      <c r="L222" s="31" t="str">
        <f aca="false">IF(C222="","",MONTH(C222))</f>
        <v/>
      </c>
      <c r="M222" s="34"/>
      <c r="N222" s="34"/>
      <c r="O222" s="34"/>
    </row>
    <row r="223" customFormat="false" ht="15" hidden="false" customHeight="false" outlineLevel="0" collapsed="false">
      <c r="B223" s="31" t="str">
        <f aca="false">IF(C223="","",ROW()-5)</f>
        <v/>
      </c>
      <c r="C223" s="32"/>
      <c r="D223" s="33"/>
      <c r="E223" s="33"/>
      <c r="F223" s="34"/>
      <c r="G223" s="33"/>
      <c r="H223" s="34"/>
      <c r="I223" s="35"/>
      <c r="J223" s="36" t="str">
        <f aca="false">IF(OR(C223="",I223=""),"",IF(E223=Pengaturan!$J$19,I223,0))</f>
        <v/>
      </c>
      <c r="K223" s="36" t="str">
        <f aca="false">IF(OR(C223="",I223=""),"",IF(E223=Pengaturan!$J$20,I223,0))</f>
        <v/>
      </c>
      <c r="L223" s="31" t="str">
        <f aca="false">IF(C223="","",MONTH(C223))</f>
        <v/>
      </c>
      <c r="M223" s="34"/>
      <c r="N223" s="34"/>
      <c r="O223" s="34"/>
    </row>
    <row r="224" customFormat="false" ht="15" hidden="false" customHeight="false" outlineLevel="0" collapsed="false">
      <c r="B224" s="31" t="str">
        <f aca="false">IF(C224="","",ROW()-5)</f>
        <v/>
      </c>
      <c r="C224" s="32"/>
      <c r="D224" s="33"/>
      <c r="E224" s="33"/>
      <c r="F224" s="34"/>
      <c r="G224" s="33"/>
      <c r="H224" s="34"/>
      <c r="I224" s="35"/>
      <c r="J224" s="36" t="str">
        <f aca="false">IF(OR(C224="",I224=""),"",IF(E224=Pengaturan!$J$19,I224,0))</f>
        <v/>
      </c>
      <c r="K224" s="36" t="str">
        <f aca="false">IF(OR(C224="",I224=""),"",IF(E224=Pengaturan!$J$20,I224,0))</f>
        <v/>
      </c>
      <c r="L224" s="31" t="str">
        <f aca="false">IF(C224="","",MONTH(C224))</f>
        <v/>
      </c>
      <c r="M224" s="34"/>
      <c r="N224" s="34"/>
      <c r="O224" s="34"/>
    </row>
    <row r="225" customFormat="false" ht="15" hidden="false" customHeight="false" outlineLevel="0" collapsed="false">
      <c r="B225" s="31" t="str">
        <f aca="false">IF(C225="","",ROW()-5)</f>
        <v/>
      </c>
      <c r="C225" s="32"/>
      <c r="D225" s="33"/>
      <c r="E225" s="33"/>
      <c r="F225" s="34"/>
      <c r="G225" s="33"/>
      <c r="H225" s="34"/>
      <c r="I225" s="35"/>
      <c r="J225" s="36" t="str">
        <f aca="false">IF(OR(C225="",I225=""),"",IF(E225=Pengaturan!$J$19,I225,0))</f>
        <v/>
      </c>
      <c r="K225" s="36" t="str">
        <f aca="false">IF(OR(C225="",I225=""),"",IF(E225=Pengaturan!$J$20,I225,0))</f>
        <v/>
      </c>
      <c r="L225" s="31" t="str">
        <f aca="false">IF(C225="","",MONTH(C225))</f>
        <v/>
      </c>
      <c r="M225" s="34"/>
      <c r="N225" s="34"/>
      <c r="O225" s="34"/>
    </row>
    <row r="226" customFormat="false" ht="15" hidden="false" customHeight="false" outlineLevel="0" collapsed="false">
      <c r="B226" s="31" t="str">
        <f aca="false">IF(C226="","",ROW()-5)</f>
        <v/>
      </c>
      <c r="C226" s="32"/>
      <c r="D226" s="33"/>
      <c r="E226" s="33"/>
      <c r="F226" s="34"/>
      <c r="G226" s="33"/>
      <c r="H226" s="34"/>
      <c r="I226" s="35"/>
      <c r="J226" s="36" t="str">
        <f aca="false">IF(OR(C226="",I226=""),"",IF(E226=Pengaturan!$J$19,I226,0))</f>
        <v/>
      </c>
      <c r="K226" s="36" t="str">
        <f aca="false">IF(OR(C226="",I226=""),"",IF(E226=Pengaturan!$J$20,I226,0))</f>
        <v/>
      </c>
      <c r="L226" s="31" t="str">
        <f aca="false">IF(C226="","",MONTH(C226))</f>
        <v/>
      </c>
      <c r="M226" s="34"/>
      <c r="N226" s="34"/>
      <c r="O226" s="34"/>
    </row>
    <row r="227" customFormat="false" ht="15" hidden="false" customHeight="false" outlineLevel="0" collapsed="false">
      <c r="B227" s="31" t="str">
        <f aca="false">IF(C227="","",ROW()-5)</f>
        <v/>
      </c>
      <c r="C227" s="32"/>
      <c r="D227" s="33"/>
      <c r="E227" s="33"/>
      <c r="F227" s="34"/>
      <c r="G227" s="33"/>
      <c r="H227" s="34"/>
      <c r="I227" s="35"/>
      <c r="J227" s="36" t="str">
        <f aca="false">IF(OR(C227="",I227=""),"",IF(E227=Pengaturan!$J$19,I227,0))</f>
        <v/>
      </c>
      <c r="K227" s="36" t="str">
        <f aca="false">IF(OR(C227="",I227=""),"",IF(E227=Pengaturan!$J$20,I227,0))</f>
        <v/>
      </c>
      <c r="L227" s="31" t="str">
        <f aca="false">IF(C227="","",MONTH(C227))</f>
        <v/>
      </c>
      <c r="M227" s="34"/>
      <c r="N227" s="34"/>
      <c r="O227" s="34"/>
    </row>
    <row r="228" customFormat="false" ht="15" hidden="false" customHeight="false" outlineLevel="0" collapsed="false">
      <c r="B228" s="31" t="str">
        <f aca="false">IF(C228="","",ROW()-5)</f>
        <v/>
      </c>
      <c r="C228" s="32"/>
      <c r="D228" s="33"/>
      <c r="E228" s="33"/>
      <c r="F228" s="34"/>
      <c r="G228" s="33"/>
      <c r="H228" s="34"/>
      <c r="I228" s="35"/>
      <c r="J228" s="36" t="str">
        <f aca="false">IF(OR(C228="",I228=""),"",IF(E228=Pengaturan!$J$19,I228,0))</f>
        <v/>
      </c>
      <c r="K228" s="36" t="str">
        <f aca="false">IF(OR(C228="",I228=""),"",IF(E228=Pengaturan!$J$20,I228,0))</f>
        <v/>
      </c>
      <c r="L228" s="31" t="str">
        <f aca="false">IF(C228="","",MONTH(C228))</f>
        <v/>
      </c>
      <c r="M228" s="34"/>
      <c r="N228" s="34"/>
      <c r="O228" s="34"/>
    </row>
    <row r="229" customFormat="false" ht="15" hidden="false" customHeight="false" outlineLevel="0" collapsed="false">
      <c r="B229" s="31" t="str">
        <f aca="false">IF(C229="","",ROW()-5)</f>
        <v/>
      </c>
      <c r="C229" s="32"/>
      <c r="D229" s="33"/>
      <c r="E229" s="33"/>
      <c r="F229" s="34"/>
      <c r="G229" s="33"/>
      <c r="H229" s="34"/>
      <c r="I229" s="35"/>
      <c r="J229" s="36" t="str">
        <f aca="false">IF(OR(C229="",I229=""),"",IF(E229=Pengaturan!$J$19,I229,0))</f>
        <v/>
      </c>
      <c r="K229" s="36" t="str">
        <f aca="false">IF(OR(C229="",I229=""),"",IF(E229=Pengaturan!$J$20,I229,0))</f>
        <v/>
      </c>
      <c r="L229" s="31" t="str">
        <f aca="false">IF(C229="","",MONTH(C229))</f>
        <v/>
      </c>
      <c r="M229" s="34"/>
      <c r="N229" s="34"/>
      <c r="O229" s="34"/>
    </row>
    <row r="230" customFormat="false" ht="15" hidden="false" customHeight="false" outlineLevel="0" collapsed="false">
      <c r="B230" s="31" t="str">
        <f aca="false">IF(C230="","",ROW()-5)</f>
        <v/>
      </c>
      <c r="C230" s="32"/>
      <c r="D230" s="33"/>
      <c r="E230" s="33"/>
      <c r="F230" s="34"/>
      <c r="G230" s="33"/>
      <c r="H230" s="34"/>
      <c r="I230" s="35"/>
      <c r="J230" s="36" t="str">
        <f aca="false">IF(OR(C230="",I230=""),"",IF(E230=Pengaturan!$J$19,I230,0))</f>
        <v/>
      </c>
      <c r="K230" s="36" t="str">
        <f aca="false">IF(OR(C230="",I230=""),"",IF(E230=Pengaturan!$J$20,I230,0))</f>
        <v/>
      </c>
      <c r="L230" s="31" t="str">
        <f aca="false">IF(C230="","",MONTH(C230))</f>
        <v/>
      </c>
      <c r="M230" s="34"/>
      <c r="N230" s="34"/>
      <c r="O230" s="34"/>
    </row>
    <row r="231" customFormat="false" ht="15" hidden="false" customHeight="false" outlineLevel="0" collapsed="false">
      <c r="B231" s="31" t="str">
        <f aca="false">IF(C231="","",ROW()-5)</f>
        <v/>
      </c>
      <c r="C231" s="32"/>
      <c r="D231" s="33"/>
      <c r="E231" s="33"/>
      <c r="F231" s="34"/>
      <c r="G231" s="33"/>
      <c r="H231" s="34"/>
      <c r="I231" s="35"/>
      <c r="J231" s="36" t="str">
        <f aca="false">IF(OR(C231="",I231=""),"",IF(E231=Pengaturan!$J$19,I231,0))</f>
        <v/>
      </c>
      <c r="K231" s="36" t="str">
        <f aca="false">IF(OR(C231="",I231=""),"",IF(E231=Pengaturan!$J$20,I231,0))</f>
        <v/>
      </c>
      <c r="L231" s="31" t="str">
        <f aca="false">IF(C231="","",MONTH(C231))</f>
        <v/>
      </c>
      <c r="M231" s="34"/>
      <c r="N231" s="34"/>
      <c r="O231" s="34"/>
    </row>
    <row r="232" customFormat="false" ht="15" hidden="false" customHeight="false" outlineLevel="0" collapsed="false">
      <c r="B232" s="31" t="str">
        <f aca="false">IF(C232="","",ROW()-5)</f>
        <v/>
      </c>
      <c r="C232" s="32"/>
      <c r="D232" s="33"/>
      <c r="E232" s="33"/>
      <c r="F232" s="34"/>
      <c r="G232" s="33"/>
      <c r="H232" s="34"/>
      <c r="I232" s="35"/>
      <c r="J232" s="36" t="str">
        <f aca="false">IF(OR(C232="",I232=""),"",IF(E232=Pengaturan!$J$19,I232,0))</f>
        <v/>
      </c>
      <c r="K232" s="36" t="str">
        <f aca="false">IF(OR(C232="",I232=""),"",IF(E232=Pengaturan!$J$20,I232,0))</f>
        <v/>
      </c>
      <c r="L232" s="31" t="str">
        <f aca="false">IF(C232="","",MONTH(C232))</f>
        <v/>
      </c>
      <c r="M232" s="34"/>
      <c r="N232" s="34"/>
      <c r="O232" s="34"/>
    </row>
    <row r="233" customFormat="false" ht="15" hidden="false" customHeight="false" outlineLevel="0" collapsed="false">
      <c r="B233" s="31" t="str">
        <f aca="false">IF(C233="","",ROW()-5)</f>
        <v/>
      </c>
      <c r="C233" s="32"/>
      <c r="D233" s="33"/>
      <c r="E233" s="33"/>
      <c r="F233" s="34"/>
      <c r="G233" s="33"/>
      <c r="H233" s="34"/>
      <c r="I233" s="35"/>
      <c r="J233" s="36" t="str">
        <f aca="false">IF(OR(C233="",I233=""),"",IF(E233=Pengaturan!$J$19,I233,0))</f>
        <v/>
      </c>
      <c r="K233" s="36" t="str">
        <f aca="false">IF(OR(C233="",I233=""),"",IF(E233=Pengaturan!$J$20,I233,0))</f>
        <v/>
      </c>
      <c r="L233" s="31" t="str">
        <f aca="false">IF(C233="","",MONTH(C233))</f>
        <v/>
      </c>
      <c r="M233" s="34"/>
      <c r="N233" s="34"/>
      <c r="O233" s="34"/>
    </row>
    <row r="234" customFormat="false" ht="15" hidden="false" customHeight="false" outlineLevel="0" collapsed="false">
      <c r="B234" s="31" t="str">
        <f aca="false">IF(C234="","",ROW()-5)</f>
        <v/>
      </c>
      <c r="C234" s="32"/>
      <c r="D234" s="33"/>
      <c r="E234" s="33"/>
      <c r="F234" s="34"/>
      <c r="G234" s="33"/>
      <c r="H234" s="34"/>
      <c r="I234" s="35"/>
      <c r="J234" s="36" t="str">
        <f aca="false">IF(OR(C234="",I234=""),"",IF(E234=Pengaturan!$J$19,I234,0))</f>
        <v/>
      </c>
      <c r="K234" s="36" t="str">
        <f aca="false">IF(OR(C234="",I234=""),"",IF(E234=Pengaturan!$J$20,I234,0))</f>
        <v/>
      </c>
      <c r="L234" s="31" t="str">
        <f aca="false">IF(C234="","",MONTH(C234))</f>
        <v/>
      </c>
      <c r="M234" s="34"/>
      <c r="N234" s="34"/>
      <c r="O234" s="34"/>
    </row>
    <row r="235" customFormat="false" ht="15" hidden="false" customHeight="false" outlineLevel="0" collapsed="false">
      <c r="B235" s="31" t="str">
        <f aca="false">IF(C235="","",ROW()-5)</f>
        <v/>
      </c>
      <c r="C235" s="32"/>
      <c r="D235" s="33"/>
      <c r="E235" s="33"/>
      <c r="F235" s="34"/>
      <c r="G235" s="33"/>
      <c r="H235" s="34"/>
      <c r="I235" s="35"/>
      <c r="J235" s="36" t="str">
        <f aca="false">IF(OR(C235="",I235=""),"",IF(E235=Pengaturan!$J$19,I235,0))</f>
        <v/>
      </c>
      <c r="K235" s="36" t="str">
        <f aca="false">IF(OR(C235="",I235=""),"",IF(E235=Pengaturan!$J$20,I235,0))</f>
        <v/>
      </c>
      <c r="L235" s="31" t="str">
        <f aca="false">IF(C235="","",MONTH(C235))</f>
        <v/>
      </c>
      <c r="M235" s="34"/>
      <c r="N235" s="34"/>
      <c r="O235" s="34"/>
    </row>
    <row r="236" customFormat="false" ht="15" hidden="false" customHeight="false" outlineLevel="0" collapsed="false">
      <c r="B236" s="31" t="str">
        <f aca="false">IF(C236="","",ROW()-5)</f>
        <v/>
      </c>
      <c r="C236" s="32"/>
      <c r="D236" s="33"/>
      <c r="E236" s="33"/>
      <c r="F236" s="34"/>
      <c r="G236" s="33"/>
      <c r="H236" s="34"/>
      <c r="I236" s="35"/>
      <c r="J236" s="36" t="str">
        <f aca="false">IF(OR(C236="",I236=""),"",IF(E236=Pengaturan!$J$19,I236,0))</f>
        <v/>
      </c>
      <c r="K236" s="36" t="str">
        <f aca="false">IF(OR(C236="",I236=""),"",IF(E236=Pengaturan!$J$20,I236,0))</f>
        <v/>
      </c>
      <c r="L236" s="31" t="str">
        <f aca="false">IF(C236="","",MONTH(C236))</f>
        <v/>
      </c>
      <c r="M236" s="34"/>
      <c r="N236" s="34"/>
      <c r="O236" s="34"/>
    </row>
    <row r="237" customFormat="false" ht="15" hidden="false" customHeight="false" outlineLevel="0" collapsed="false">
      <c r="B237" s="31" t="str">
        <f aca="false">IF(C237="","",ROW()-5)</f>
        <v/>
      </c>
      <c r="C237" s="32"/>
      <c r="D237" s="33"/>
      <c r="E237" s="33"/>
      <c r="F237" s="34"/>
      <c r="G237" s="33"/>
      <c r="H237" s="34"/>
      <c r="I237" s="35"/>
      <c r="J237" s="36" t="str">
        <f aca="false">IF(OR(C237="",I237=""),"",IF(E237=Pengaturan!$J$19,I237,0))</f>
        <v/>
      </c>
      <c r="K237" s="36" t="str">
        <f aca="false">IF(OR(C237="",I237=""),"",IF(E237=Pengaturan!$J$20,I237,0))</f>
        <v/>
      </c>
      <c r="L237" s="31" t="str">
        <f aca="false">IF(C237="","",MONTH(C237))</f>
        <v/>
      </c>
      <c r="M237" s="34"/>
      <c r="N237" s="34"/>
      <c r="O237" s="34"/>
    </row>
    <row r="238" customFormat="false" ht="15" hidden="false" customHeight="false" outlineLevel="0" collapsed="false">
      <c r="B238" s="31" t="str">
        <f aca="false">IF(C238="","",ROW()-5)</f>
        <v/>
      </c>
      <c r="C238" s="32"/>
      <c r="D238" s="33"/>
      <c r="E238" s="33"/>
      <c r="F238" s="34"/>
      <c r="G238" s="33"/>
      <c r="H238" s="34"/>
      <c r="I238" s="35"/>
      <c r="J238" s="36" t="str">
        <f aca="false">IF(OR(C238="",I238=""),"",IF(E238=Pengaturan!$J$19,I238,0))</f>
        <v/>
      </c>
      <c r="K238" s="36" t="str">
        <f aca="false">IF(OR(C238="",I238=""),"",IF(E238=Pengaturan!$J$20,I238,0))</f>
        <v/>
      </c>
      <c r="L238" s="31" t="str">
        <f aca="false">IF(C238="","",MONTH(C238))</f>
        <v/>
      </c>
      <c r="M238" s="34"/>
      <c r="N238" s="34"/>
      <c r="O238" s="34"/>
    </row>
    <row r="239" customFormat="false" ht="15" hidden="false" customHeight="false" outlineLevel="0" collapsed="false">
      <c r="B239" s="31" t="str">
        <f aca="false">IF(C239="","",ROW()-5)</f>
        <v/>
      </c>
      <c r="C239" s="32"/>
      <c r="D239" s="33"/>
      <c r="E239" s="33"/>
      <c r="F239" s="34"/>
      <c r="G239" s="33"/>
      <c r="H239" s="34"/>
      <c r="I239" s="35"/>
      <c r="J239" s="36" t="str">
        <f aca="false">IF(OR(C239="",I239=""),"",IF(E239=Pengaturan!$J$19,I239,0))</f>
        <v/>
      </c>
      <c r="K239" s="36" t="str">
        <f aca="false">IF(OR(C239="",I239=""),"",IF(E239=Pengaturan!$J$20,I239,0))</f>
        <v/>
      </c>
      <c r="L239" s="31" t="str">
        <f aca="false">IF(C239="","",MONTH(C239))</f>
        <v/>
      </c>
      <c r="M239" s="34"/>
      <c r="N239" s="34"/>
      <c r="O239" s="34"/>
    </row>
    <row r="240" customFormat="false" ht="15" hidden="false" customHeight="false" outlineLevel="0" collapsed="false">
      <c r="B240" s="31" t="str">
        <f aca="false">IF(C240="","",ROW()-5)</f>
        <v/>
      </c>
      <c r="C240" s="32"/>
      <c r="D240" s="33"/>
      <c r="E240" s="33"/>
      <c r="F240" s="34"/>
      <c r="G240" s="33"/>
      <c r="H240" s="34"/>
      <c r="I240" s="35"/>
      <c r="J240" s="36" t="str">
        <f aca="false">IF(OR(C240="",I240=""),"",IF(E240=Pengaturan!$J$19,I240,0))</f>
        <v/>
      </c>
      <c r="K240" s="36" t="str">
        <f aca="false">IF(OR(C240="",I240=""),"",IF(E240=Pengaturan!$J$20,I240,0))</f>
        <v/>
      </c>
      <c r="L240" s="31" t="str">
        <f aca="false">IF(C240="","",MONTH(C240))</f>
        <v/>
      </c>
      <c r="M240" s="34"/>
      <c r="N240" s="34"/>
      <c r="O240" s="34"/>
    </row>
    <row r="241" customFormat="false" ht="15" hidden="false" customHeight="false" outlineLevel="0" collapsed="false">
      <c r="B241" s="31" t="str">
        <f aca="false">IF(C241="","",ROW()-5)</f>
        <v/>
      </c>
      <c r="C241" s="32"/>
      <c r="D241" s="33"/>
      <c r="E241" s="33"/>
      <c r="F241" s="34"/>
      <c r="G241" s="33"/>
      <c r="H241" s="34"/>
      <c r="I241" s="35"/>
      <c r="J241" s="36" t="str">
        <f aca="false">IF(OR(C241="",I241=""),"",IF(E241=Pengaturan!$J$19,I241,0))</f>
        <v/>
      </c>
      <c r="K241" s="36" t="str">
        <f aca="false">IF(OR(C241="",I241=""),"",IF(E241=Pengaturan!$J$20,I241,0))</f>
        <v/>
      </c>
      <c r="L241" s="31" t="str">
        <f aca="false">IF(C241="","",MONTH(C241))</f>
        <v/>
      </c>
      <c r="M241" s="34"/>
      <c r="N241" s="34"/>
      <c r="O241" s="34"/>
    </row>
    <row r="242" customFormat="false" ht="15" hidden="false" customHeight="false" outlineLevel="0" collapsed="false">
      <c r="B242" s="31" t="str">
        <f aca="false">IF(C242="","",ROW()-5)</f>
        <v/>
      </c>
      <c r="C242" s="32"/>
      <c r="D242" s="33"/>
      <c r="E242" s="33"/>
      <c r="F242" s="34"/>
      <c r="G242" s="33"/>
      <c r="H242" s="34"/>
      <c r="I242" s="35"/>
      <c r="J242" s="36" t="str">
        <f aca="false">IF(OR(C242="",I242=""),"",IF(E242=Pengaturan!$J$19,I242,0))</f>
        <v/>
      </c>
      <c r="K242" s="36" t="str">
        <f aca="false">IF(OR(C242="",I242=""),"",IF(E242=Pengaturan!$J$20,I242,0))</f>
        <v/>
      </c>
      <c r="L242" s="31" t="str">
        <f aca="false">IF(C242="","",MONTH(C242))</f>
        <v/>
      </c>
      <c r="M242" s="34"/>
      <c r="N242" s="34"/>
      <c r="O242" s="34"/>
    </row>
    <row r="243" customFormat="false" ht="15" hidden="false" customHeight="false" outlineLevel="0" collapsed="false">
      <c r="B243" s="31" t="str">
        <f aca="false">IF(C243="","",ROW()-5)</f>
        <v/>
      </c>
      <c r="C243" s="32"/>
      <c r="D243" s="33"/>
      <c r="E243" s="33"/>
      <c r="F243" s="34"/>
      <c r="G243" s="33"/>
      <c r="H243" s="34"/>
      <c r="I243" s="35"/>
      <c r="J243" s="36" t="str">
        <f aca="false">IF(OR(C243="",I243=""),"",IF(E243=Pengaturan!$J$19,I243,0))</f>
        <v/>
      </c>
      <c r="K243" s="36" t="str">
        <f aca="false">IF(OR(C243="",I243=""),"",IF(E243=Pengaturan!$J$20,I243,0))</f>
        <v/>
      </c>
      <c r="L243" s="31" t="str">
        <f aca="false">IF(C243="","",MONTH(C243))</f>
        <v/>
      </c>
      <c r="M243" s="34"/>
      <c r="N243" s="34"/>
      <c r="O243" s="34"/>
    </row>
    <row r="244" customFormat="false" ht="15" hidden="false" customHeight="false" outlineLevel="0" collapsed="false">
      <c r="B244" s="31" t="str">
        <f aca="false">IF(C244="","",ROW()-5)</f>
        <v/>
      </c>
      <c r="C244" s="32"/>
      <c r="D244" s="33"/>
      <c r="E244" s="33"/>
      <c r="F244" s="34"/>
      <c r="G244" s="33"/>
      <c r="H244" s="34"/>
      <c r="I244" s="35"/>
      <c r="J244" s="36" t="str">
        <f aca="false">IF(OR(C244="",I244=""),"",IF(E244=Pengaturan!$J$19,I244,0))</f>
        <v/>
      </c>
      <c r="K244" s="36" t="str">
        <f aca="false">IF(OR(C244="",I244=""),"",IF(E244=Pengaturan!$J$20,I244,0))</f>
        <v/>
      </c>
      <c r="L244" s="31" t="str">
        <f aca="false">IF(C244="","",MONTH(C244))</f>
        <v/>
      </c>
      <c r="M244" s="34"/>
      <c r="N244" s="34"/>
      <c r="O244" s="34"/>
    </row>
    <row r="245" customFormat="false" ht="15" hidden="false" customHeight="false" outlineLevel="0" collapsed="false">
      <c r="B245" s="31" t="str">
        <f aca="false">IF(C245="","",ROW()-5)</f>
        <v/>
      </c>
      <c r="C245" s="32"/>
      <c r="D245" s="33"/>
      <c r="E245" s="33"/>
      <c r="F245" s="34"/>
      <c r="G245" s="33"/>
      <c r="H245" s="34"/>
      <c r="I245" s="35"/>
      <c r="J245" s="36" t="str">
        <f aca="false">IF(OR(C245="",I245=""),"",IF(E245=Pengaturan!$J$19,I245,0))</f>
        <v/>
      </c>
      <c r="K245" s="36" t="str">
        <f aca="false">IF(OR(C245="",I245=""),"",IF(E245=Pengaturan!$J$20,I245,0))</f>
        <v/>
      </c>
      <c r="L245" s="31" t="str">
        <f aca="false">IF(C245="","",MONTH(C245))</f>
        <v/>
      </c>
      <c r="M245" s="34"/>
      <c r="N245" s="34"/>
      <c r="O245" s="34"/>
    </row>
    <row r="246" customFormat="false" ht="15" hidden="false" customHeight="false" outlineLevel="0" collapsed="false">
      <c r="B246" s="31" t="str">
        <f aca="false">IF(C246="","",ROW()-5)</f>
        <v/>
      </c>
      <c r="C246" s="32"/>
      <c r="D246" s="33"/>
      <c r="E246" s="33"/>
      <c r="F246" s="34"/>
      <c r="G246" s="33"/>
      <c r="H246" s="34"/>
      <c r="I246" s="35"/>
      <c r="J246" s="36" t="str">
        <f aca="false">IF(OR(C246="",I246=""),"",IF(E246=Pengaturan!$J$19,I246,0))</f>
        <v/>
      </c>
      <c r="K246" s="36" t="str">
        <f aca="false">IF(OR(C246="",I246=""),"",IF(E246=Pengaturan!$J$20,I246,0))</f>
        <v/>
      </c>
      <c r="L246" s="31" t="str">
        <f aca="false">IF(C246="","",MONTH(C246))</f>
        <v/>
      </c>
      <c r="M246" s="34"/>
      <c r="N246" s="34"/>
      <c r="O246" s="34"/>
    </row>
    <row r="247" customFormat="false" ht="15" hidden="false" customHeight="false" outlineLevel="0" collapsed="false">
      <c r="B247" s="31" t="str">
        <f aca="false">IF(C247="","",ROW()-5)</f>
        <v/>
      </c>
      <c r="C247" s="32"/>
      <c r="D247" s="33"/>
      <c r="E247" s="33"/>
      <c r="F247" s="34"/>
      <c r="G247" s="33"/>
      <c r="H247" s="34"/>
      <c r="I247" s="35"/>
      <c r="J247" s="36" t="str">
        <f aca="false">IF(OR(C247="",I247=""),"",IF(E247=Pengaturan!$J$19,I247,0))</f>
        <v/>
      </c>
      <c r="K247" s="36" t="str">
        <f aca="false">IF(OR(C247="",I247=""),"",IF(E247=Pengaturan!$J$20,I247,0))</f>
        <v/>
      </c>
      <c r="L247" s="31" t="str">
        <f aca="false">IF(C247="","",MONTH(C247))</f>
        <v/>
      </c>
      <c r="M247" s="34"/>
      <c r="N247" s="34"/>
      <c r="O247" s="34"/>
    </row>
    <row r="248" customFormat="false" ht="15" hidden="false" customHeight="false" outlineLevel="0" collapsed="false">
      <c r="B248" s="31" t="str">
        <f aca="false">IF(C248="","",ROW()-5)</f>
        <v/>
      </c>
      <c r="C248" s="32"/>
      <c r="D248" s="33"/>
      <c r="E248" s="33"/>
      <c r="F248" s="34"/>
      <c r="G248" s="33"/>
      <c r="H248" s="34"/>
      <c r="I248" s="35"/>
      <c r="J248" s="36" t="str">
        <f aca="false">IF(OR(C248="",I248=""),"",IF(E248=Pengaturan!$J$19,I248,0))</f>
        <v/>
      </c>
      <c r="K248" s="36" t="str">
        <f aca="false">IF(OR(C248="",I248=""),"",IF(E248=Pengaturan!$J$20,I248,0))</f>
        <v/>
      </c>
      <c r="L248" s="31" t="str">
        <f aca="false">IF(C248="","",MONTH(C248))</f>
        <v/>
      </c>
      <c r="M248" s="34"/>
      <c r="N248" s="34"/>
      <c r="O248" s="34"/>
    </row>
    <row r="249" customFormat="false" ht="15" hidden="false" customHeight="false" outlineLevel="0" collapsed="false">
      <c r="B249" s="31" t="str">
        <f aca="false">IF(C249="","",ROW()-5)</f>
        <v/>
      </c>
      <c r="C249" s="32"/>
      <c r="D249" s="33"/>
      <c r="E249" s="33"/>
      <c r="F249" s="34"/>
      <c r="G249" s="33"/>
      <c r="H249" s="34"/>
      <c r="I249" s="35"/>
      <c r="J249" s="36" t="str">
        <f aca="false">IF(OR(C249="",I249=""),"",IF(E249=Pengaturan!$J$19,I249,0))</f>
        <v/>
      </c>
      <c r="K249" s="36" t="str">
        <f aca="false">IF(OR(C249="",I249=""),"",IF(E249=Pengaturan!$J$20,I249,0))</f>
        <v/>
      </c>
      <c r="L249" s="31" t="str">
        <f aca="false">IF(C249="","",MONTH(C249))</f>
        <v/>
      </c>
      <c r="M249" s="34"/>
      <c r="N249" s="34"/>
      <c r="O249" s="34"/>
    </row>
    <row r="250" customFormat="false" ht="15" hidden="false" customHeight="false" outlineLevel="0" collapsed="false">
      <c r="B250" s="31" t="str">
        <f aca="false">IF(C250="","",ROW()-5)</f>
        <v/>
      </c>
      <c r="C250" s="32"/>
      <c r="D250" s="33"/>
      <c r="E250" s="33"/>
      <c r="F250" s="34"/>
      <c r="G250" s="33"/>
      <c r="H250" s="34"/>
      <c r="I250" s="35"/>
      <c r="J250" s="36" t="str">
        <f aca="false">IF(OR(C250="",I250=""),"",IF(E250=Pengaturan!$J$19,I250,0))</f>
        <v/>
      </c>
      <c r="K250" s="36" t="str">
        <f aca="false">IF(OR(C250="",I250=""),"",IF(E250=Pengaturan!$J$20,I250,0))</f>
        <v/>
      </c>
      <c r="L250" s="31" t="str">
        <f aca="false">IF(C250="","",MONTH(C250))</f>
        <v/>
      </c>
      <c r="M250" s="34"/>
      <c r="N250" s="34"/>
      <c r="O250" s="34"/>
    </row>
    <row r="251" customFormat="false" ht="15" hidden="false" customHeight="false" outlineLevel="0" collapsed="false">
      <c r="B251" s="31" t="str">
        <f aca="false">IF(C251="","",ROW()-5)</f>
        <v/>
      </c>
      <c r="C251" s="32"/>
      <c r="D251" s="33"/>
      <c r="E251" s="33"/>
      <c r="F251" s="34"/>
      <c r="G251" s="33"/>
      <c r="H251" s="34"/>
      <c r="I251" s="35"/>
      <c r="J251" s="36" t="str">
        <f aca="false">IF(OR(C251="",I251=""),"",IF(E251=Pengaturan!$J$19,I251,0))</f>
        <v/>
      </c>
      <c r="K251" s="36" t="str">
        <f aca="false">IF(OR(C251="",I251=""),"",IF(E251=Pengaturan!$J$20,I251,0))</f>
        <v/>
      </c>
      <c r="L251" s="31" t="str">
        <f aca="false">IF(C251="","",MONTH(C251))</f>
        <v/>
      </c>
      <c r="M251" s="34"/>
      <c r="N251" s="34"/>
      <c r="O251" s="34"/>
    </row>
    <row r="252" customFormat="false" ht="15" hidden="false" customHeight="false" outlineLevel="0" collapsed="false">
      <c r="B252" s="31" t="str">
        <f aca="false">IF(C252="","",ROW()-5)</f>
        <v/>
      </c>
      <c r="C252" s="32"/>
      <c r="D252" s="33"/>
      <c r="E252" s="33"/>
      <c r="F252" s="34"/>
      <c r="G252" s="33"/>
      <c r="H252" s="34"/>
      <c r="I252" s="35"/>
      <c r="J252" s="36" t="str">
        <f aca="false">IF(OR(C252="",I252=""),"",IF(E252=Pengaturan!$J$19,I252,0))</f>
        <v/>
      </c>
      <c r="K252" s="36" t="str">
        <f aca="false">IF(OR(C252="",I252=""),"",IF(E252=Pengaturan!$J$20,I252,0))</f>
        <v/>
      </c>
      <c r="L252" s="31" t="str">
        <f aca="false">IF(C252="","",MONTH(C252))</f>
        <v/>
      </c>
      <c r="M252" s="34"/>
      <c r="N252" s="34"/>
      <c r="O252" s="34"/>
    </row>
    <row r="253" customFormat="false" ht="15" hidden="false" customHeight="false" outlineLevel="0" collapsed="false">
      <c r="B253" s="31" t="str">
        <f aca="false">IF(C253="","",ROW()-5)</f>
        <v/>
      </c>
      <c r="C253" s="32"/>
      <c r="D253" s="33"/>
      <c r="E253" s="33"/>
      <c r="F253" s="34"/>
      <c r="G253" s="33"/>
      <c r="H253" s="34"/>
      <c r="I253" s="35"/>
      <c r="J253" s="36" t="str">
        <f aca="false">IF(OR(C253="",I253=""),"",IF(E253=Pengaturan!$J$19,I253,0))</f>
        <v/>
      </c>
      <c r="K253" s="36" t="str">
        <f aca="false">IF(OR(C253="",I253=""),"",IF(E253=Pengaturan!$J$20,I253,0))</f>
        <v/>
      </c>
      <c r="L253" s="31" t="str">
        <f aca="false">IF(C253="","",MONTH(C253))</f>
        <v/>
      </c>
      <c r="M253" s="34"/>
      <c r="N253" s="34"/>
      <c r="O253" s="34"/>
    </row>
    <row r="254" customFormat="false" ht="15" hidden="false" customHeight="false" outlineLevel="0" collapsed="false">
      <c r="B254" s="31" t="str">
        <f aca="false">IF(C254="","",ROW()-5)</f>
        <v/>
      </c>
      <c r="C254" s="32"/>
      <c r="D254" s="33"/>
      <c r="E254" s="33"/>
      <c r="F254" s="34"/>
      <c r="G254" s="33"/>
      <c r="H254" s="34"/>
      <c r="I254" s="35"/>
      <c r="J254" s="36" t="str">
        <f aca="false">IF(OR(C254="",I254=""),"",IF(E254=Pengaturan!$J$19,I254,0))</f>
        <v/>
      </c>
      <c r="K254" s="36" t="str">
        <f aca="false">IF(OR(C254="",I254=""),"",IF(E254=Pengaturan!$J$20,I254,0))</f>
        <v/>
      </c>
      <c r="L254" s="31" t="str">
        <f aca="false">IF(C254="","",MONTH(C254))</f>
        <v/>
      </c>
      <c r="M254" s="34"/>
      <c r="N254" s="34"/>
      <c r="O254" s="34"/>
    </row>
    <row r="255" customFormat="false" ht="15" hidden="false" customHeight="false" outlineLevel="0" collapsed="false">
      <c r="B255" s="31" t="str">
        <f aca="false">IF(C255="","",ROW()-5)</f>
        <v/>
      </c>
      <c r="C255" s="32"/>
      <c r="D255" s="33"/>
      <c r="E255" s="33"/>
      <c r="F255" s="34"/>
      <c r="G255" s="33"/>
      <c r="H255" s="34"/>
      <c r="I255" s="35"/>
      <c r="J255" s="36" t="str">
        <f aca="false">IF(OR(C255="",I255=""),"",IF(E255=Pengaturan!$J$19,I255,0))</f>
        <v/>
      </c>
      <c r="K255" s="36" t="str">
        <f aca="false">IF(OR(C255="",I255=""),"",IF(E255=Pengaturan!$J$20,I255,0))</f>
        <v/>
      </c>
      <c r="L255" s="31" t="str">
        <f aca="false">IF(C255="","",MONTH(C255))</f>
        <v/>
      </c>
      <c r="M255" s="34"/>
      <c r="N255" s="34"/>
      <c r="O255" s="34"/>
    </row>
    <row r="256" customFormat="false" ht="15" hidden="false" customHeight="false" outlineLevel="0" collapsed="false">
      <c r="B256" s="31" t="str">
        <f aca="false">IF(C256="","",ROW()-5)</f>
        <v/>
      </c>
      <c r="C256" s="32"/>
      <c r="D256" s="33"/>
      <c r="E256" s="33"/>
      <c r="F256" s="34"/>
      <c r="G256" s="33"/>
      <c r="H256" s="34"/>
      <c r="I256" s="35"/>
      <c r="J256" s="36" t="str">
        <f aca="false">IF(OR(C256="",I256=""),"",IF(E256=Pengaturan!$J$19,I256,0))</f>
        <v/>
      </c>
      <c r="K256" s="36" t="str">
        <f aca="false">IF(OR(C256="",I256=""),"",IF(E256=Pengaturan!$J$20,I256,0))</f>
        <v/>
      </c>
      <c r="L256" s="31" t="str">
        <f aca="false">IF(C256="","",MONTH(C256))</f>
        <v/>
      </c>
      <c r="M256" s="34"/>
      <c r="N256" s="34"/>
      <c r="O256" s="34"/>
    </row>
    <row r="257" customFormat="false" ht="15" hidden="false" customHeight="false" outlineLevel="0" collapsed="false">
      <c r="B257" s="31" t="str">
        <f aca="false">IF(C257="","",ROW()-5)</f>
        <v/>
      </c>
      <c r="C257" s="32"/>
      <c r="D257" s="33"/>
      <c r="E257" s="33"/>
      <c r="F257" s="34"/>
      <c r="G257" s="33"/>
      <c r="H257" s="34"/>
      <c r="I257" s="35"/>
      <c r="J257" s="36" t="str">
        <f aca="false">IF(OR(C257="",I257=""),"",IF(E257=Pengaturan!$J$19,I257,0))</f>
        <v/>
      </c>
      <c r="K257" s="36" t="str">
        <f aca="false">IF(OR(C257="",I257=""),"",IF(E257=Pengaturan!$J$20,I257,0))</f>
        <v/>
      </c>
      <c r="L257" s="31" t="str">
        <f aca="false">IF(C257="","",MONTH(C257))</f>
        <v/>
      </c>
      <c r="M257" s="34"/>
      <c r="N257" s="34"/>
      <c r="O257" s="34"/>
    </row>
    <row r="258" customFormat="false" ht="15" hidden="false" customHeight="false" outlineLevel="0" collapsed="false">
      <c r="B258" s="31" t="str">
        <f aca="false">IF(C258="","",ROW()-5)</f>
        <v/>
      </c>
      <c r="C258" s="32"/>
      <c r="D258" s="33"/>
      <c r="E258" s="33"/>
      <c r="F258" s="34"/>
      <c r="G258" s="33"/>
      <c r="H258" s="34"/>
      <c r="I258" s="35"/>
      <c r="J258" s="36" t="str">
        <f aca="false">IF(OR(C258="",I258=""),"",IF(E258=Pengaturan!$J$19,I258,0))</f>
        <v/>
      </c>
      <c r="K258" s="36" t="str">
        <f aca="false">IF(OR(C258="",I258=""),"",IF(E258=Pengaturan!$J$20,I258,0))</f>
        <v/>
      </c>
      <c r="L258" s="31" t="str">
        <f aca="false">IF(C258="","",MONTH(C258))</f>
        <v/>
      </c>
      <c r="M258" s="34"/>
      <c r="N258" s="34"/>
      <c r="O258" s="34"/>
    </row>
    <row r="259" customFormat="false" ht="15" hidden="false" customHeight="false" outlineLevel="0" collapsed="false">
      <c r="B259" s="31" t="str">
        <f aca="false">IF(C259="","",ROW()-5)</f>
        <v/>
      </c>
      <c r="C259" s="32"/>
      <c r="D259" s="33"/>
      <c r="E259" s="33"/>
      <c r="F259" s="34"/>
      <c r="G259" s="33"/>
      <c r="H259" s="34"/>
      <c r="I259" s="35"/>
      <c r="J259" s="36" t="str">
        <f aca="false">IF(OR(C259="",I259=""),"",IF(E259=Pengaturan!$J$19,I259,0))</f>
        <v/>
      </c>
      <c r="K259" s="36" t="str">
        <f aca="false">IF(OR(C259="",I259=""),"",IF(E259=Pengaturan!$J$20,I259,0))</f>
        <v/>
      </c>
      <c r="L259" s="31" t="str">
        <f aca="false">IF(C259="","",MONTH(C259))</f>
        <v/>
      </c>
      <c r="M259" s="34"/>
      <c r="N259" s="34"/>
      <c r="O259" s="34"/>
    </row>
    <row r="260" customFormat="false" ht="15" hidden="false" customHeight="false" outlineLevel="0" collapsed="false">
      <c r="B260" s="31" t="str">
        <f aca="false">IF(C260="","",ROW()-5)</f>
        <v/>
      </c>
      <c r="C260" s="32"/>
      <c r="D260" s="33"/>
      <c r="E260" s="33"/>
      <c r="F260" s="34"/>
      <c r="G260" s="33"/>
      <c r="H260" s="34"/>
      <c r="I260" s="35"/>
      <c r="J260" s="36" t="str">
        <f aca="false">IF(OR(C260="",I260=""),"",IF(E260=Pengaturan!$J$19,I260,0))</f>
        <v/>
      </c>
      <c r="K260" s="36" t="str">
        <f aca="false">IF(OR(C260="",I260=""),"",IF(E260=Pengaturan!$J$20,I260,0))</f>
        <v/>
      </c>
      <c r="L260" s="31" t="str">
        <f aca="false">IF(C260="","",MONTH(C260))</f>
        <v/>
      </c>
      <c r="M260" s="34"/>
      <c r="N260" s="34"/>
      <c r="O260" s="34"/>
    </row>
    <row r="261" customFormat="false" ht="15" hidden="false" customHeight="false" outlineLevel="0" collapsed="false">
      <c r="B261" s="31" t="str">
        <f aca="false">IF(C261="","",ROW()-5)</f>
        <v/>
      </c>
      <c r="C261" s="32"/>
      <c r="D261" s="33"/>
      <c r="E261" s="33"/>
      <c r="F261" s="34"/>
      <c r="G261" s="33"/>
      <c r="H261" s="34"/>
      <c r="I261" s="35"/>
      <c r="J261" s="36" t="str">
        <f aca="false">IF(OR(C261="",I261=""),"",IF(E261=Pengaturan!$J$19,I261,0))</f>
        <v/>
      </c>
      <c r="K261" s="36" t="str">
        <f aca="false">IF(OR(C261="",I261=""),"",IF(E261=Pengaturan!$J$20,I261,0))</f>
        <v/>
      </c>
      <c r="L261" s="31" t="str">
        <f aca="false">IF(C261="","",MONTH(C261))</f>
        <v/>
      </c>
      <c r="M261" s="34"/>
      <c r="N261" s="34"/>
      <c r="O261" s="34"/>
    </row>
    <row r="262" customFormat="false" ht="15" hidden="false" customHeight="false" outlineLevel="0" collapsed="false">
      <c r="B262" s="31" t="str">
        <f aca="false">IF(C262="","",ROW()-5)</f>
        <v/>
      </c>
      <c r="C262" s="32"/>
      <c r="D262" s="33"/>
      <c r="E262" s="33"/>
      <c r="F262" s="34"/>
      <c r="G262" s="33"/>
      <c r="H262" s="34"/>
      <c r="I262" s="35"/>
      <c r="J262" s="36" t="str">
        <f aca="false">IF(OR(C262="",I262=""),"",IF(E262=Pengaturan!$J$19,I262,0))</f>
        <v/>
      </c>
      <c r="K262" s="36" t="str">
        <f aca="false">IF(OR(C262="",I262=""),"",IF(E262=Pengaturan!$J$20,I262,0))</f>
        <v/>
      </c>
      <c r="L262" s="31" t="str">
        <f aca="false">IF(C262="","",MONTH(C262))</f>
        <v/>
      </c>
      <c r="M262" s="34"/>
      <c r="N262" s="34"/>
      <c r="O262" s="34"/>
    </row>
    <row r="263" customFormat="false" ht="15" hidden="false" customHeight="false" outlineLevel="0" collapsed="false">
      <c r="B263" s="31" t="str">
        <f aca="false">IF(C263="","",ROW()-5)</f>
        <v/>
      </c>
      <c r="C263" s="32"/>
      <c r="D263" s="33"/>
      <c r="E263" s="33"/>
      <c r="F263" s="34"/>
      <c r="G263" s="33"/>
      <c r="H263" s="34"/>
      <c r="I263" s="35"/>
      <c r="J263" s="36" t="str">
        <f aca="false">IF(OR(C263="",I263=""),"",IF(E263=Pengaturan!$J$19,I263,0))</f>
        <v/>
      </c>
      <c r="K263" s="36" t="str">
        <f aca="false">IF(OR(C263="",I263=""),"",IF(E263=Pengaturan!$J$20,I263,0))</f>
        <v/>
      </c>
      <c r="L263" s="31" t="str">
        <f aca="false">IF(C263="","",MONTH(C263))</f>
        <v/>
      </c>
      <c r="M263" s="34"/>
      <c r="N263" s="34"/>
      <c r="O263" s="34"/>
    </row>
    <row r="264" customFormat="false" ht="15" hidden="false" customHeight="false" outlineLevel="0" collapsed="false">
      <c r="B264" s="31" t="str">
        <f aca="false">IF(C264="","",ROW()-5)</f>
        <v/>
      </c>
      <c r="C264" s="32"/>
      <c r="D264" s="33"/>
      <c r="E264" s="33"/>
      <c r="F264" s="34"/>
      <c r="G264" s="33"/>
      <c r="H264" s="34"/>
      <c r="I264" s="35"/>
      <c r="J264" s="36" t="str">
        <f aca="false">IF(OR(C264="",I264=""),"",IF(E264=Pengaturan!$J$19,I264,0))</f>
        <v/>
      </c>
      <c r="K264" s="36" t="str">
        <f aca="false">IF(OR(C264="",I264=""),"",IF(E264=Pengaturan!$J$20,I264,0))</f>
        <v/>
      </c>
      <c r="L264" s="31" t="str">
        <f aca="false">IF(C264="","",MONTH(C264))</f>
        <v/>
      </c>
      <c r="M264" s="34"/>
      <c r="N264" s="34"/>
      <c r="O264" s="34"/>
    </row>
    <row r="265" customFormat="false" ht="15" hidden="false" customHeight="false" outlineLevel="0" collapsed="false">
      <c r="B265" s="31" t="str">
        <f aca="false">IF(C265="","",ROW()-5)</f>
        <v/>
      </c>
      <c r="C265" s="32"/>
      <c r="D265" s="33"/>
      <c r="E265" s="33"/>
      <c r="F265" s="34"/>
      <c r="G265" s="33"/>
      <c r="H265" s="34"/>
      <c r="I265" s="35"/>
      <c r="J265" s="36" t="str">
        <f aca="false">IF(OR(C265="",I265=""),"",IF(E265=Pengaturan!$J$19,I265,0))</f>
        <v/>
      </c>
      <c r="K265" s="36" t="str">
        <f aca="false">IF(OR(C265="",I265=""),"",IF(E265=Pengaturan!$J$20,I265,0))</f>
        <v/>
      </c>
      <c r="L265" s="31" t="str">
        <f aca="false">IF(C265="","",MONTH(C265))</f>
        <v/>
      </c>
      <c r="M265" s="34"/>
      <c r="N265" s="34"/>
      <c r="O265" s="34"/>
    </row>
    <row r="266" customFormat="false" ht="15" hidden="false" customHeight="false" outlineLevel="0" collapsed="false">
      <c r="B266" s="31" t="str">
        <f aca="false">IF(C266="","",ROW()-5)</f>
        <v/>
      </c>
      <c r="C266" s="32"/>
      <c r="D266" s="33"/>
      <c r="E266" s="33"/>
      <c r="F266" s="34"/>
      <c r="G266" s="33"/>
      <c r="H266" s="34"/>
      <c r="I266" s="35"/>
      <c r="J266" s="36" t="str">
        <f aca="false">IF(OR(C266="",I266=""),"",IF(E266=Pengaturan!$J$19,I266,0))</f>
        <v/>
      </c>
      <c r="K266" s="36" t="str">
        <f aca="false">IF(OR(C266="",I266=""),"",IF(E266=Pengaturan!$J$20,I266,0))</f>
        <v/>
      </c>
      <c r="L266" s="31" t="str">
        <f aca="false">IF(C266="","",MONTH(C266))</f>
        <v/>
      </c>
      <c r="M266" s="34"/>
      <c r="N266" s="34"/>
      <c r="O266" s="34"/>
    </row>
    <row r="267" customFormat="false" ht="15" hidden="false" customHeight="false" outlineLevel="0" collapsed="false">
      <c r="B267" s="31" t="str">
        <f aca="false">IF(C267="","",ROW()-5)</f>
        <v/>
      </c>
      <c r="C267" s="32"/>
      <c r="D267" s="33"/>
      <c r="E267" s="33"/>
      <c r="F267" s="34"/>
      <c r="G267" s="33"/>
      <c r="H267" s="34"/>
      <c r="I267" s="35"/>
      <c r="J267" s="36" t="str">
        <f aca="false">IF(OR(C267="",I267=""),"",IF(E267=Pengaturan!$J$19,I267,0))</f>
        <v/>
      </c>
      <c r="K267" s="36" t="str">
        <f aca="false">IF(OR(C267="",I267=""),"",IF(E267=Pengaturan!$J$20,I267,0))</f>
        <v/>
      </c>
      <c r="L267" s="31" t="str">
        <f aca="false">IF(C267="","",MONTH(C267))</f>
        <v/>
      </c>
      <c r="M267" s="34"/>
      <c r="N267" s="34"/>
      <c r="O267" s="34"/>
    </row>
    <row r="268" customFormat="false" ht="15" hidden="false" customHeight="false" outlineLevel="0" collapsed="false">
      <c r="B268" s="31" t="str">
        <f aca="false">IF(C268="","",ROW()-5)</f>
        <v/>
      </c>
      <c r="C268" s="32"/>
      <c r="D268" s="33"/>
      <c r="E268" s="33"/>
      <c r="F268" s="34"/>
      <c r="G268" s="33"/>
      <c r="H268" s="34"/>
      <c r="I268" s="35"/>
      <c r="J268" s="36" t="str">
        <f aca="false">IF(OR(C268="",I268=""),"",IF(E268=Pengaturan!$J$19,I268,0))</f>
        <v/>
      </c>
      <c r="K268" s="36" t="str">
        <f aca="false">IF(OR(C268="",I268=""),"",IF(E268=Pengaturan!$J$20,I268,0))</f>
        <v/>
      </c>
      <c r="L268" s="31" t="str">
        <f aca="false">IF(C268="","",MONTH(C268))</f>
        <v/>
      </c>
      <c r="M268" s="34"/>
      <c r="N268" s="34"/>
      <c r="O268" s="34"/>
    </row>
    <row r="269" customFormat="false" ht="15" hidden="false" customHeight="false" outlineLevel="0" collapsed="false">
      <c r="B269" s="31" t="str">
        <f aca="false">IF(C269="","",ROW()-5)</f>
        <v/>
      </c>
      <c r="C269" s="32"/>
      <c r="D269" s="33"/>
      <c r="E269" s="33"/>
      <c r="F269" s="34"/>
      <c r="G269" s="33"/>
      <c r="H269" s="34"/>
      <c r="I269" s="35"/>
      <c r="J269" s="36" t="str">
        <f aca="false">IF(OR(C269="",I269=""),"",IF(E269=Pengaturan!$J$19,I269,0))</f>
        <v/>
      </c>
      <c r="K269" s="36" t="str">
        <f aca="false">IF(OR(C269="",I269=""),"",IF(E269=Pengaturan!$J$20,I269,0))</f>
        <v/>
      </c>
      <c r="L269" s="31" t="str">
        <f aca="false">IF(C269="","",MONTH(C269))</f>
        <v/>
      </c>
      <c r="M269" s="34"/>
      <c r="N269" s="34"/>
      <c r="O269" s="34"/>
    </row>
    <row r="270" customFormat="false" ht="15" hidden="false" customHeight="false" outlineLevel="0" collapsed="false">
      <c r="B270" s="31" t="str">
        <f aca="false">IF(C270="","",ROW()-5)</f>
        <v/>
      </c>
      <c r="C270" s="32"/>
      <c r="D270" s="33"/>
      <c r="E270" s="33"/>
      <c r="F270" s="34"/>
      <c r="G270" s="33"/>
      <c r="H270" s="34"/>
      <c r="I270" s="35"/>
      <c r="J270" s="36" t="str">
        <f aca="false">IF(OR(C270="",I270=""),"",IF(E270=Pengaturan!$J$19,I270,0))</f>
        <v/>
      </c>
      <c r="K270" s="36" t="str">
        <f aca="false">IF(OR(C270="",I270=""),"",IF(E270=Pengaturan!$J$20,I270,0))</f>
        <v/>
      </c>
      <c r="L270" s="31" t="str">
        <f aca="false">IF(C270="","",MONTH(C270))</f>
        <v/>
      </c>
      <c r="M270" s="34"/>
      <c r="N270" s="34"/>
      <c r="O270" s="34"/>
    </row>
    <row r="271" customFormat="false" ht="15" hidden="false" customHeight="false" outlineLevel="0" collapsed="false">
      <c r="B271" s="31" t="str">
        <f aca="false">IF(C271="","",ROW()-5)</f>
        <v/>
      </c>
      <c r="C271" s="32"/>
      <c r="D271" s="33"/>
      <c r="E271" s="33"/>
      <c r="F271" s="34"/>
      <c r="G271" s="33"/>
      <c r="H271" s="34"/>
      <c r="I271" s="35"/>
      <c r="J271" s="36" t="str">
        <f aca="false">IF(OR(C271="",I271=""),"",IF(E271=Pengaturan!$J$19,I271,0))</f>
        <v/>
      </c>
      <c r="K271" s="36" t="str">
        <f aca="false">IF(OR(C271="",I271=""),"",IF(E271=Pengaturan!$J$20,I271,0))</f>
        <v/>
      </c>
      <c r="L271" s="31" t="str">
        <f aca="false">IF(C271="","",MONTH(C271))</f>
        <v/>
      </c>
      <c r="M271" s="34"/>
      <c r="N271" s="34"/>
      <c r="O271" s="34"/>
    </row>
    <row r="272" customFormat="false" ht="15" hidden="false" customHeight="false" outlineLevel="0" collapsed="false">
      <c r="B272" s="31" t="str">
        <f aca="false">IF(C272="","",ROW()-5)</f>
        <v/>
      </c>
      <c r="C272" s="32"/>
      <c r="D272" s="33"/>
      <c r="E272" s="33"/>
      <c r="F272" s="34"/>
      <c r="G272" s="33"/>
      <c r="H272" s="34"/>
      <c r="I272" s="35"/>
      <c r="J272" s="36" t="str">
        <f aca="false">IF(OR(C272="",I272=""),"",IF(E272=Pengaturan!$J$19,I272,0))</f>
        <v/>
      </c>
      <c r="K272" s="36" t="str">
        <f aca="false">IF(OR(C272="",I272=""),"",IF(E272=Pengaturan!$J$20,I272,0))</f>
        <v/>
      </c>
      <c r="L272" s="31" t="str">
        <f aca="false">IF(C272="","",MONTH(C272))</f>
        <v/>
      </c>
      <c r="M272" s="34"/>
      <c r="N272" s="34"/>
      <c r="O272" s="34"/>
    </row>
    <row r="273" customFormat="false" ht="15" hidden="false" customHeight="false" outlineLevel="0" collapsed="false">
      <c r="B273" s="31" t="str">
        <f aca="false">IF(C273="","",ROW()-5)</f>
        <v/>
      </c>
      <c r="C273" s="32"/>
      <c r="D273" s="33"/>
      <c r="E273" s="33"/>
      <c r="F273" s="34"/>
      <c r="G273" s="33"/>
      <c r="H273" s="34"/>
      <c r="I273" s="35"/>
      <c r="J273" s="36" t="str">
        <f aca="false">IF(OR(C273="",I273=""),"",IF(E273=Pengaturan!$J$19,I273,0))</f>
        <v/>
      </c>
      <c r="K273" s="36" t="str">
        <f aca="false">IF(OR(C273="",I273=""),"",IF(E273=Pengaturan!$J$20,I273,0))</f>
        <v/>
      </c>
      <c r="L273" s="31" t="str">
        <f aca="false">IF(C273="","",MONTH(C273))</f>
        <v/>
      </c>
      <c r="M273" s="34"/>
      <c r="N273" s="34"/>
      <c r="O273" s="34"/>
    </row>
    <row r="274" customFormat="false" ht="15" hidden="false" customHeight="false" outlineLevel="0" collapsed="false">
      <c r="B274" s="31" t="str">
        <f aca="false">IF(C274="","",ROW()-5)</f>
        <v/>
      </c>
      <c r="C274" s="32"/>
      <c r="D274" s="33"/>
      <c r="E274" s="33"/>
      <c r="F274" s="34"/>
      <c r="G274" s="33"/>
      <c r="H274" s="34"/>
      <c r="I274" s="35"/>
      <c r="J274" s="36" t="str">
        <f aca="false">IF(OR(C274="",I274=""),"",IF(E274=Pengaturan!$J$19,I274,0))</f>
        <v/>
      </c>
      <c r="K274" s="36" t="str">
        <f aca="false">IF(OR(C274="",I274=""),"",IF(E274=Pengaturan!$J$20,I274,0))</f>
        <v/>
      </c>
      <c r="L274" s="31" t="str">
        <f aca="false">IF(C274="","",MONTH(C274))</f>
        <v/>
      </c>
      <c r="M274" s="34"/>
      <c r="N274" s="34"/>
      <c r="O274" s="34"/>
    </row>
    <row r="275" customFormat="false" ht="15" hidden="false" customHeight="false" outlineLevel="0" collapsed="false">
      <c r="B275" s="31" t="str">
        <f aca="false">IF(C275="","",ROW()-5)</f>
        <v/>
      </c>
      <c r="C275" s="32"/>
      <c r="D275" s="33"/>
      <c r="E275" s="33"/>
      <c r="F275" s="34"/>
      <c r="G275" s="33"/>
      <c r="H275" s="34"/>
      <c r="I275" s="35"/>
      <c r="J275" s="36" t="str">
        <f aca="false">IF(OR(C275="",I275=""),"",IF(E275=Pengaturan!$J$19,I275,0))</f>
        <v/>
      </c>
      <c r="K275" s="36" t="str">
        <f aca="false">IF(OR(C275="",I275=""),"",IF(E275=Pengaturan!$J$20,I275,0))</f>
        <v/>
      </c>
      <c r="L275" s="31" t="str">
        <f aca="false">IF(C275="","",MONTH(C275))</f>
        <v/>
      </c>
      <c r="M275" s="34"/>
      <c r="N275" s="34"/>
      <c r="O275" s="34"/>
    </row>
    <row r="276" customFormat="false" ht="15" hidden="false" customHeight="false" outlineLevel="0" collapsed="false">
      <c r="B276" s="31" t="str">
        <f aca="false">IF(C276="","",ROW()-5)</f>
        <v/>
      </c>
      <c r="C276" s="32"/>
      <c r="D276" s="33"/>
      <c r="E276" s="33"/>
      <c r="F276" s="34"/>
      <c r="G276" s="33"/>
      <c r="H276" s="34"/>
      <c r="I276" s="35"/>
      <c r="J276" s="36" t="str">
        <f aca="false">IF(OR(C276="",I276=""),"",IF(E276=Pengaturan!$J$19,I276,0))</f>
        <v/>
      </c>
      <c r="K276" s="36" t="str">
        <f aca="false">IF(OR(C276="",I276=""),"",IF(E276=Pengaturan!$J$20,I276,0))</f>
        <v/>
      </c>
      <c r="L276" s="31" t="str">
        <f aca="false">IF(C276="","",MONTH(C276))</f>
        <v/>
      </c>
      <c r="M276" s="34"/>
      <c r="N276" s="34"/>
      <c r="O276" s="34"/>
    </row>
    <row r="277" customFormat="false" ht="15" hidden="false" customHeight="false" outlineLevel="0" collapsed="false">
      <c r="B277" s="31" t="str">
        <f aca="false">IF(C277="","",ROW()-5)</f>
        <v/>
      </c>
      <c r="C277" s="32"/>
      <c r="D277" s="33"/>
      <c r="E277" s="33"/>
      <c r="F277" s="34"/>
      <c r="G277" s="33"/>
      <c r="H277" s="34"/>
      <c r="I277" s="35"/>
      <c r="J277" s="36" t="str">
        <f aca="false">IF(OR(C277="",I277=""),"",IF(E277=Pengaturan!$J$19,I277,0))</f>
        <v/>
      </c>
      <c r="K277" s="36" t="str">
        <f aca="false">IF(OR(C277="",I277=""),"",IF(E277=Pengaturan!$J$20,I277,0))</f>
        <v/>
      </c>
      <c r="L277" s="31" t="str">
        <f aca="false">IF(C277="","",MONTH(C277))</f>
        <v/>
      </c>
      <c r="M277" s="34"/>
      <c r="N277" s="34"/>
      <c r="O277" s="34"/>
    </row>
    <row r="278" customFormat="false" ht="15" hidden="false" customHeight="false" outlineLevel="0" collapsed="false">
      <c r="B278" s="31" t="str">
        <f aca="false">IF(C278="","",ROW()-5)</f>
        <v/>
      </c>
      <c r="C278" s="32"/>
      <c r="D278" s="33"/>
      <c r="E278" s="33"/>
      <c r="F278" s="34"/>
      <c r="G278" s="33"/>
      <c r="H278" s="34"/>
      <c r="I278" s="35"/>
      <c r="J278" s="36" t="str">
        <f aca="false">IF(OR(C278="",I278=""),"",IF(E278=Pengaturan!$J$19,I278,0))</f>
        <v/>
      </c>
      <c r="K278" s="36" t="str">
        <f aca="false">IF(OR(C278="",I278=""),"",IF(E278=Pengaturan!$J$20,I278,0))</f>
        <v/>
      </c>
      <c r="L278" s="31" t="str">
        <f aca="false">IF(C278="","",MONTH(C278))</f>
        <v/>
      </c>
      <c r="M278" s="34"/>
      <c r="N278" s="34"/>
      <c r="O278" s="34"/>
    </row>
    <row r="279" customFormat="false" ht="15" hidden="false" customHeight="false" outlineLevel="0" collapsed="false">
      <c r="B279" s="31" t="str">
        <f aca="false">IF(C279="","",ROW()-5)</f>
        <v/>
      </c>
      <c r="C279" s="32"/>
      <c r="D279" s="33"/>
      <c r="E279" s="33"/>
      <c r="F279" s="34"/>
      <c r="G279" s="33"/>
      <c r="H279" s="34"/>
      <c r="I279" s="35"/>
      <c r="J279" s="36" t="str">
        <f aca="false">IF(OR(C279="",I279=""),"",IF(E279=Pengaturan!$J$19,I279,0))</f>
        <v/>
      </c>
      <c r="K279" s="36" t="str">
        <f aca="false">IF(OR(C279="",I279=""),"",IF(E279=Pengaturan!$J$20,I279,0))</f>
        <v/>
      </c>
      <c r="L279" s="31" t="str">
        <f aca="false">IF(C279="","",MONTH(C279))</f>
        <v/>
      </c>
      <c r="M279" s="34"/>
      <c r="N279" s="34"/>
      <c r="O279" s="34"/>
    </row>
    <row r="280" customFormat="false" ht="15" hidden="false" customHeight="false" outlineLevel="0" collapsed="false">
      <c r="B280" s="31" t="str">
        <f aca="false">IF(C280="","",ROW()-5)</f>
        <v/>
      </c>
      <c r="C280" s="32"/>
      <c r="D280" s="33"/>
      <c r="E280" s="33"/>
      <c r="F280" s="34"/>
      <c r="G280" s="33"/>
      <c r="H280" s="34"/>
      <c r="I280" s="35"/>
      <c r="J280" s="36" t="str">
        <f aca="false">IF(OR(C280="",I280=""),"",IF(E280=Pengaturan!$J$19,I280,0))</f>
        <v/>
      </c>
      <c r="K280" s="36" t="str">
        <f aca="false">IF(OR(C280="",I280=""),"",IF(E280=Pengaturan!$J$20,I280,0))</f>
        <v/>
      </c>
      <c r="L280" s="31" t="str">
        <f aca="false">IF(C280="","",MONTH(C280))</f>
        <v/>
      </c>
      <c r="M280" s="34"/>
      <c r="N280" s="34"/>
      <c r="O280" s="34"/>
    </row>
    <row r="281" customFormat="false" ht="15" hidden="false" customHeight="false" outlineLevel="0" collapsed="false">
      <c r="B281" s="31" t="str">
        <f aca="false">IF(C281="","",ROW()-5)</f>
        <v/>
      </c>
      <c r="C281" s="32"/>
      <c r="D281" s="33"/>
      <c r="E281" s="33"/>
      <c r="F281" s="34"/>
      <c r="G281" s="33"/>
      <c r="H281" s="34"/>
      <c r="I281" s="35"/>
      <c r="J281" s="36" t="str">
        <f aca="false">IF(OR(C281="",I281=""),"",IF(E281=Pengaturan!$J$19,I281,0))</f>
        <v/>
      </c>
      <c r="K281" s="36" t="str">
        <f aca="false">IF(OR(C281="",I281=""),"",IF(E281=Pengaturan!$J$20,I281,0))</f>
        <v/>
      </c>
      <c r="L281" s="31" t="str">
        <f aca="false">IF(C281="","",MONTH(C281))</f>
        <v/>
      </c>
      <c r="M281" s="34"/>
      <c r="N281" s="34"/>
      <c r="O281" s="34"/>
    </row>
    <row r="282" customFormat="false" ht="15" hidden="false" customHeight="false" outlineLevel="0" collapsed="false">
      <c r="B282" s="31" t="str">
        <f aca="false">IF(C282="","",ROW()-5)</f>
        <v/>
      </c>
      <c r="C282" s="32"/>
      <c r="D282" s="33"/>
      <c r="E282" s="33"/>
      <c r="F282" s="34"/>
      <c r="G282" s="33"/>
      <c r="H282" s="34"/>
      <c r="I282" s="35"/>
      <c r="J282" s="36" t="str">
        <f aca="false">IF(OR(C282="",I282=""),"",IF(E282=Pengaturan!$J$19,I282,0))</f>
        <v/>
      </c>
      <c r="K282" s="36" t="str">
        <f aca="false">IF(OR(C282="",I282=""),"",IF(E282=Pengaturan!$J$20,I282,0))</f>
        <v/>
      </c>
      <c r="L282" s="31" t="str">
        <f aca="false">IF(C282="","",MONTH(C282))</f>
        <v/>
      </c>
      <c r="M282" s="34"/>
      <c r="N282" s="34"/>
      <c r="O282" s="34"/>
    </row>
    <row r="283" customFormat="false" ht="15" hidden="false" customHeight="false" outlineLevel="0" collapsed="false">
      <c r="B283" s="31" t="str">
        <f aca="false">IF(C283="","",ROW()-5)</f>
        <v/>
      </c>
      <c r="C283" s="32"/>
      <c r="D283" s="33"/>
      <c r="E283" s="33"/>
      <c r="F283" s="34"/>
      <c r="G283" s="33"/>
      <c r="H283" s="34"/>
      <c r="I283" s="35"/>
      <c r="J283" s="36" t="str">
        <f aca="false">IF(OR(C283="",I283=""),"",IF(E283=Pengaturan!$J$19,I283,0))</f>
        <v/>
      </c>
      <c r="K283" s="36" t="str">
        <f aca="false">IF(OR(C283="",I283=""),"",IF(E283=Pengaturan!$J$20,I283,0))</f>
        <v/>
      </c>
      <c r="L283" s="31" t="str">
        <f aca="false">IF(C283="","",MONTH(C283))</f>
        <v/>
      </c>
      <c r="M283" s="34"/>
      <c r="N283" s="34"/>
      <c r="O283" s="34"/>
    </row>
    <row r="284" customFormat="false" ht="15" hidden="false" customHeight="false" outlineLevel="0" collapsed="false">
      <c r="B284" s="31" t="str">
        <f aca="false">IF(C284="","",ROW()-5)</f>
        <v/>
      </c>
      <c r="C284" s="32"/>
      <c r="D284" s="33"/>
      <c r="E284" s="33"/>
      <c r="F284" s="34"/>
      <c r="G284" s="33"/>
      <c r="H284" s="34"/>
      <c r="I284" s="35"/>
      <c r="J284" s="36" t="str">
        <f aca="false">IF(OR(C284="",I284=""),"",IF(E284=Pengaturan!$J$19,I284,0))</f>
        <v/>
      </c>
      <c r="K284" s="36" t="str">
        <f aca="false">IF(OR(C284="",I284=""),"",IF(E284=Pengaturan!$J$20,I284,0))</f>
        <v/>
      </c>
      <c r="L284" s="31" t="str">
        <f aca="false">IF(C284="","",MONTH(C284))</f>
        <v/>
      </c>
      <c r="M284" s="34"/>
      <c r="N284" s="34"/>
      <c r="O284" s="34"/>
    </row>
    <row r="285" customFormat="false" ht="15" hidden="false" customHeight="false" outlineLevel="0" collapsed="false">
      <c r="B285" s="31" t="str">
        <f aca="false">IF(C285="","",ROW()-5)</f>
        <v/>
      </c>
      <c r="C285" s="32"/>
      <c r="D285" s="33"/>
      <c r="E285" s="33"/>
      <c r="F285" s="34"/>
      <c r="G285" s="33"/>
      <c r="H285" s="34"/>
      <c r="I285" s="35"/>
      <c r="J285" s="36" t="str">
        <f aca="false">IF(OR(C285="",I285=""),"",IF(E285=Pengaturan!$J$19,I285,0))</f>
        <v/>
      </c>
      <c r="K285" s="36" t="str">
        <f aca="false">IF(OR(C285="",I285=""),"",IF(E285=Pengaturan!$J$20,I285,0))</f>
        <v/>
      </c>
      <c r="L285" s="31" t="str">
        <f aca="false">IF(C285="","",MONTH(C285))</f>
        <v/>
      </c>
      <c r="M285" s="34"/>
      <c r="N285" s="34"/>
      <c r="O285" s="34"/>
    </row>
    <row r="286" customFormat="false" ht="15" hidden="false" customHeight="false" outlineLevel="0" collapsed="false">
      <c r="B286" s="31" t="str">
        <f aca="false">IF(C286="","",ROW()-5)</f>
        <v/>
      </c>
      <c r="C286" s="32"/>
      <c r="D286" s="33"/>
      <c r="E286" s="33"/>
      <c r="F286" s="34"/>
      <c r="G286" s="33"/>
      <c r="H286" s="34"/>
      <c r="I286" s="35"/>
      <c r="J286" s="36" t="str">
        <f aca="false">IF(OR(C286="",I286=""),"",IF(E286=Pengaturan!$J$19,I286,0))</f>
        <v/>
      </c>
      <c r="K286" s="36" t="str">
        <f aca="false">IF(OR(C286="",I286=""),"",IF(E286=Pengaturan!$J$20,I286,0))</f>
        <v/>
      </c>
      <c r="L286" s="31" t="str">
        <f aca="false">IF(C286="","",MONTH(C286))</f>
        <v/>
      </c>
      <c r="M286" s="34"/>
      <c r="N286" s="34"/>
      <c r="O286" s="34"/>
    </row>
    <row r="287" customFormat="false" ht="15" hidden="false" customHeight="false" outlineLevel="0" collapsed="false">
      <c r="B287" s="31" t="str">
        <f aca="false">IF(C287="","",ROW()-5)</f>
        <v/>
      </c>
      <c r="C287" s="32"/>
      <c r="D287" s="33"/>
      <c r="E287" s="33"/>
      <c r="F287" s="34"/>
      <c r="G287" s="33"/>
      <c r="H287" s="34"/>
      <c r="I287" s="35"/>
      <c r="J287" s="36" t="str">
        <f aca="false">IF(OR(C287="",I287=""),"",IF(E287=Pengaturan!$J$19,I287,0))</f>
        <v/>
      </c>
      <c r="K287" s="36" t="str">
        <f aca="false">IF(OR(C287="",I287=""),"",IF(E287=Pengaturan!$J$20,I287,0))</f>
        <v/>
      </c>
      <c r="L287" s="31" t="str">
        <f aca="false">IF(C287="","",MONTH(C287))</f>
        <v/>
      </c>
      <c r="M287" s="34"/>
      <c r="N287" s="34"/>
      <c r="O287" s="34"/>
    </row>
    <row r="288" customFormat="false" ht="15" hidden="false" customHeight="false" outlineLevel="0" collapsed="false">
      <c r="B288" s="31" t="str">
        <f aca="false">IF(C288="","",ROW()-5)</f>
        <v/>
      </c>
      <c r="C288" s="32"/>
      <c r="D288" s="33"/>
      <c r="E288" s="33"/>
      <c r="F288" s="34"/>
      <c r="G288" s="33"/>
      <c r="H288" s="34"/>
      <c r="I288" s="35"/>
      <c r="J288" s="36" t="str">
        <f aca="false">IF(OR(C288="",I288=""),"",IF(E288=Pengaturan!$J$19,I288,0))</f>
        <v/>
      </c>
      <c r="K288" s="36" t="str">
        <f aca="false">IF(OR(C288="",I288=""),"",IF(E288=Pengaturan!$J$20,I288,0))</f>
        <v/>
      </c>
      <c r="L288" s="31" t="str">
        <f aca="false">IF(C288="","",MONTH(C288))</f>
        <v/>
      </c>
      <c r="M288" s="34"/>
      <c r="N288" s="34"/>
      <c r="O288" s="34"/>
    </row>
    <row r="289" customFormat="false" ht="15" hidden="false" customHeight="false" outlineLevel="0" collapsed="false">
      <c r="B289" s="31" t="str">
        <f aca="false">IF(C289="","",ROW()-5)</f>
        <v/>
      </c>
      <c r="C289" s="32"/>
      <c r="D289" s="33"/>
      <c r="E289" s="33"/>
      <c r="F289" s="34"/>
      <c r="G289" s="33"/>
      <c r="H289" s="34"/>
      <c r="I289" s="35"/>
      <c r="J289" s="36" t="str">
        <f aca="false">IF(OR(C289="",I289=""),"",IF(E289=Pengaturan!$J$19,I289,0))</f>
        <v/>
      </c>
      <c r="K289" s="36" t="str">
        <f aca="false">IF(OR(C289="",I289=""),"",IF(E289=Pengaturan!$J$20,I289,0))</f>
        <v/>
      </c>
      <c r="L289" s="31" t="str">
        <f aca="false">IF(C289="","",MONTH(C289))</f>
        <v/>
      </c>
      <c r="M289" s="34"/>
      <c r="N289" s="34"/>
      <c r="O289" s="34"/>
    </row>
    <row r="290" customFormat="false" ht="15" hidden="false" customHeight="false" outlineLevel="0" collapsed="false">
      <c r="B290" s="31" t="str">
        <f aca="false">IF(C290="","",ROW()-5)</f>
        <v/>
      </c>
      <c r="C290" s="32"/>
      <c r="D290" s="33"/>
      <c r="E290" s="33"/>
      <c r="F290" s="34"/>
      <c r="G290" s="33"/>
      <c r="H290" s="34"/>
      <c r="I290" s="35"/>
      <c r="J290" s="36" t="str">
        <f aca="false">IF(OR(C290="",I290=""),"",IF(E290=Pengaturan!$J$19,I290,0))</f>
        <v/>
      </c>
      <c r="K290" s="36" t="str">
        <f aca="false">IF(OR(C290="",I290=""),"",IF(E290=Pengaturan!$J$20,I290,0))</f>
        <v/>
      </c>
      <c r="L290" s="31" t="str">
        <f aca="false">IF(C290="","",MONTH(C290))</f>
        <v/>
      </c>
      <c r="M290" s="34"/>
      <c r="N290" s="34"/>
      <c r="O290" s="34"/>
    </row>
    <row r="291" customFormat="false" ht="15" hidden="false" customHeight="false" outlineLevel="0" collapsed="false">
      <c r="B291" s="31" t="str">
        <f aca="false">IF(C291="","",ROW()-5)</f>
        <v/>
      </c>
      <c r="C291" s="32"/>
      <c r="D291" s="33"/>
      <c r="E291" s="33"/>
      <c r="F291" s="34"/>
      <c r="G291" s="33"/>
      <c r="H291" s="34"/>
      <c r="I291" s="35"/>
      <c r="J291" s="36" t="str">
        <f aca="false">IF(OR(C291="",I291=""),"",IF(E291=Pengaturan!$J$19,I291,0))</f>
        <v/>
      </c>
      <c r="K291" s="36" t="str">
        <f aca="false">IF(OR(C291="",I291=""),"",IF(E291=Pengaturan!$J$20,I291,0))</f>
        <v/>
      </c>
      <c r="L291" s="31" t="str">
        <f aca="false">IF(C291="","",MONTH(C291))</f>
        <v/>
      </c>
      <c r="M291" s="34"/>
      <c r="N291" s="34"/>
      <c r="O291" s="34"/>
    </row>
    <row r="292" customFormat="false" ht="15" hidden="false" customHeight="false" outlineLevel="0" collapsed="false">
      <c r="B292" s="31" t="str">
        <f aca="false">IF(C292="","",ROW()-5)</f>
        <v/>
      </c>
      <c r="C292" s="32"/>
      <c r="D292" s="33"/>
      <c r="E292" s="33"/>
      <c r="F292" s="34"/>
      <c r="G292" s="33"/>
      <c r="H292" s="34"/>
      <c r="I292" s="35"/>
      <c r="J292" s="36" t="str">
        <f aca="false">IF(OR(C292="",I292=""),"",IF(E292=Pengaturan!$J$19,I292,0))</f>
        <v/>
      </c>
      <c r="K292" s="36" t="str">
        <f aca="false">IF(OR(C292="",I292=""),"",IF(E292=Pengaturan!$J$20,I292,0))</f>
        <v/>
      </c>
      <c r="L292" s="31" t="str">
        <f aca="false">IF(C292="","",MONTH(C292))</f>
        <v/>
      </c>
      <c r="M292" s="34"/>
      <c r="N292" s="34"/>
      <c r="O292" s="34"/>
    </row>
    <row r="293" customFormat="false" ht="15" hidden="false" customHeight="false" outlineLevel="0" collapsed="false">
      <c r="B293" s="31" t="str">
        <f aca="false">IF(C293="","",ROW()-5)</f>
        <v/>
      </c>
      <c r="C293" s="32"/>
      <c r="D293" s="33"/>
      <c r="E293" s="33"/>
      <c r="F293" s="34"/>
      <c r="G293" s="33"/>
      <c r="H293" s="34"/>
      <c r="I293" s="35"/>
      <c r="J293" s="36" t="str">
        <f aca="false">IF(OR(C293="",I293=""),"",IF(E293=Pengaturan!$J$19,I293,0))</f>
        <v/>
      </c>
      <c r="K293" s="36" t="str">
        <f aca="false">IF(OR(C293="",I293=""),"",IF(E293=Pengaturan!$J$20,I293,0))</f>
        <v/>
      </c>
      <c r="L293" s="31" t="str">
        <f aca="false">IF(C293="","",MONTH(C293))</f>
        <v/>
      </c>
      <c r="M293" s="34"/>
      <c r="N293" s="34"/>
      <c r="O293" s="34"/>
    </row>
    <row r="294" customFormat="false" ht="15" hidden="false" customHeight="false" outlineLevel="0" collapsed="false">
      <c r="B294" s="31" t="str">
        <f aca="false">IF(C294="","",ROW()-5)</f>
        <v/>
      </c>
      <c r="C294" s="32"/>
      <c r="D294" s="33"/>
      <c r="E294" s="33"/>
      <c r="F294" s="34"/>
      <c r="G294" s="33"/>
      <c r="H294" s="34"/>
      <c r="I294" s="35"/>
      <c r="J294" s="36" t="str">
        <f aca="false">IF(OR(C294="",I294=""),"",IF(E294=Pengaturan!$J$19,I294,0))</f>
        <v/>
      </c>
      <c r="K294" s="36" t="str">
        <f aca="false">IF(OR(C294="",I294=""),"",IF(E294=Pengaturan!$J$20,I294,0))</f>
        <v/>
      </c>
      <c r="L294" s="31" t="str">
        <f aca="false">IF(C294="","",MONTH(C294))</f>
        <v/>
      </c>
      <c r="M294" s="34"/>
      <c r="N294" s="34"/>
      <c r="O294" s="34"/>
    </row>
    <row r="295" customFormat="false" ht="15" hidden="false" customHeight="false" outlineLevel="0" collapsed="false">
      <c r="B295" s="31" t="str">
        <f aca="false">IF(C295="","",ROW()-5)</f>
        <v/>
      </c>
      <c r="C295" s="32"/>
      <c r="D295" s="33"/>
      <c r="E295" s="33"/>
      <c r="F295" s="34"/>
      <c r="G295" s="33"/>
      <c r="H295" s="34"/>
      <c r="I295" s="35"/>
      <c r="J295" s="36" t="str">
        <f aca="false">IF(OR(C295="",I295=""),"",IF(E295=Pengaturan!$J$19,I295,0))</f>
        <v/>
      </c>
      <c r="K295" s="36" t="str">
        <f aca="false">IF(OR(C295="",I295=""),"",IF(E295=Pengaturan!$J$20,I295,0))</f>
        <v/>
      </c>
      <c r="L295" s="31" t="str">
        <f aca="false">IF(C295="","",MONTH(C295))</f>
        <v/>
      </c>
      <c r="M295" s="34"/>
      <c r="N295" s="34"/>
      <c r="O295" s="34"/>
    </row>
    <row r="296" customFormat="false" ht="15" hidden="false" customHeight="false" outlineLevel="0" collapsed="false">
      <c r="B296" s="31" t="str">
        <f aca="false">IF(C296="","",ROW()-5)</f>
        <v/>
      </c>
      <c r="C296" s="32"/>
      <c r="D296" s="33"/>
      <c r="E296" s="33"/>
      <c r="F296" s="34"/>
      <c r="G296" s="33"/>
      <c r="H296" s="34"/>
      <c r="I296" s="35"/>
      <c r="J296" s="36" t="str">
        <f aca="false">IF(OR(C296="",I296=""),"",IF(E296=Pengaturan!$J$19,I296,0))</f>
        <v/>
      </c>
      <c r="K296" s="36" t="str">
        <f aca="false">IF(OR(C296="",I296=""),"",IF(E296=Pengaturan!$J$20,I296,0))</f>
        <v/>
      </c>
      <c r="L296" s="31" t="str">
        <f aca="false">IF(C296="","",MONTH(C296))</f>
        <v/>
      </c>
      <c r="M296" s="34"/>
      <c r="N296" s="34"/>
      <c r="O296" s="34"/>
    </row>
    <row r="297" customFormat="false" ht="15" hidden="false" customHeight="false" outlineLevel="0" collapsed="false">
      <c r="B297" s="31" t="str">
        <f aca="false">IF(C297="","",ROW()-5)</f>
        <v/>
      </c>
      <c r="C297" s="32"/>
      <c r="D297" s="33"/>
      <c r="E297" s="33"/>
      <c r="F297" s="34"/>
      <c r="G297" s="33"/>
      <c r="H297" s="34"/>
      <c r="I297" s="35"/>
      <c r="J297" s="36" t="str">
        <f aca="false">IF(OR(C297="",I297=""),"",IF(E297=Pengaturan!$J$19,I297,0))</f>
        <v/>
      </c>
      <c r="K297" s="36" t="str">
        <f aca="false">IF(OR(C297="",I297=""),"",IF(E297=Pengaturan!$J$20,I297,0))</f>
        <v/>
      </c>
      <c r="L297" s="31" t="str">
        <f aca="false">IF(C297="","",MONTH(C297))</f>
        <v/>
      </c>
      <c r="M297" s="34"/>
      <c r="N297" s="34"/>
      <c r="O297" s="34"/>
    </row>
    <row r="298" customFormat="false" ht="15" hidden="false" customHeight="false" outlineLevel="0" collapsed="false">
      <c r="B298" s="31" t="str">
        <f aca="false">IF(C298="","",ROW()-5)</f>
        <v/>
      </c>
      <c r="C298" s="32"/>
      <c r="D298" s="33"/>
      <c r="E298" s="33"/>
      <c r="F298" s="34"/>
      <c r="G298" s="33"/>
      <c r="H298" s="34"/>
      <c r="I298" s="35"/>
      <c r="J298" s="36" t="str">
        <f aca="false">IF(OR(C298="",I298=""),"",IF(E298=Pengaturan!$J$19,I298,0))</f>
        <v/>
      </c>
      <c r="K298" s="36" t="str">
        <f aca="false">IF(OR(C298="",I298=""),"",IF(E298=Pengaturan!$J$20,I298,0))</f>
        <v/>
      </c>
      <c r="L298" s="31" t="str">
        <f aca="false">IF(C298="","",MONTH(C298))</f>
        <v/>
      </c>
      <c r="M298" s="34"/>
      <c r="N298" s="34"/>
      <c r="O298" s="34"/>
    </row>
    <row r="299" customFormat="false" ht="15" hidden="false" customHeight="false" outlineLevel="0" collapsed="false">
      <c r="B299" s="31" t="str">
        <f aca="false">IF(C299="","",ROW()-5)</f>
        <v/>
      </c>
      <c r="C299" s="32"/>
      <c r="D299" s="33"/>
      <c r="E299" s="33"/>
      <c r="F299" s="34"/>
      <c r="G299" s="33"/>
      <c r="H299" s="34"/>
      <c r="I299" s="35"/>
      <c r="J299" s="36" t="str">
        <f aca="false">IF(OR(C299="",I299=""),"",IF(E299=Pengaturan!$J$19,I299,0))</f>
        <v/>
      </c>
      <c r="K299" s="36" t="str">
        <f aca="false">IF(OR(C299="",I299=""),"",IF(E299=Pengaturan!$J$20,I299,0))</f>
        <v/>
      </c>
      <c r="L299" s="31" t="str">
        <f aca="false">IF(C299="","",MONTH(C299))</f>
        <v/>
      </c>
      <c r="M299" s="34"/>
      <c r="N299" s="34"/>
      <c r="O299" s="34"/>
    </row>
    <row r="300" customFormat="false" ht="15" hidden="false" customHeight="false" outlineLevel="0" collapsed="false">
      <c r="B300" s="31" t="str">
        <f aca="false">IF(C300="","",ROW()-5)</f>
        <v/>
      </c>
      <c r="C300" s="32"/>
      <c r="D300" s="33"/>
      <c r="E300" s="33"/>
      <c r="F300" s="34"/>
      <c r="G300" s="33"/>
      <c r="H300" s="34"/>
      <c r="I300" s="35"/>
      <c r="J300" s="36" t="str">
        <f aca="false">IF(OR(C300="",I300=""),"",IF(E300=Pengaturan!$J$19,I300,0))</f>
        <v/>
      </c>
      <c r="K300" s="36" t="str">
        <f aca="false">IF(OR(C300="",I300=""),"",IF(E300=Pengaturan!$J$20,I300,0))</f>
        <v/>
      </c>
      <c r="L300" s="31" t="str">
        <f aca="false">IF(C300="","",MONTH(C300))</f>
        <v/>
      </c>
      <c r="M300" s="34"/>
      <c r="N300" s="34"/>
      <c r="O300" s="34"/>
    </row>
    <row r="301" customFormat="false" ht="15" hidden="false" customHeight="false" outlineLevel="0" collapsed="false">
      <c r="B301" s="31" t="str">
        <f aca="false">IF(C301="","",ROW()-5)</f>
        <v/>
      </c>
      <c r="C301" s="32"/>
      <c r="D301" s="33"/>
      <c r="E301" s="33"/>
      <c r="F301" s="34"/>
      <c r="G301" s="33"/>
      <c r="H301" s="34"/>
      <c r="I301" s="35"/>
      <c r="J301" s="36" t="str">
        <f aca="false">IF(OR(C301="",I301=""),"",IF(E301=Pengaturan!$J$19,I301,0))</f>
        <v/>
      </c>
      <c r="K301" s="36" t="str">
        <f aca="false">IF(OR(C301="",I301=""),"",IF(E301=Pengaturan!$J$20,I301,0))</f>
        <v/>
      </c>
      <c r="L301" s="31" t="str">
        <f aca="false">IF(C301="","",MONTH(C301))</f>
        <v/>
      </c>
      <c r="M301" s="34"/>
      <c r="N301" s="34"/>
      <c r="O301" s="34"/>
    </row>
    <row r="302" customFormat="false" ht="15" hidden="false" customHeight="false" outlineLevel="0" collapsed="false">
      <c r="B302" s="31" t="str">
        <f aca="false">IF(C302="","",ROW()-5)</f>
        <v/>
      </c>
      <c r="C302" s="32"/>
      <c r="D302" s="33"/>
      <c r="E302" s="33"/>
      <c r="F302" s="34"/>
      <c r="G302" s="33"/>
      <c r="H302" s="34"/>
      <c r="I302" s="35"/>
      <c r="J302" s="36" t="str">
        <f aca="false">IF(OR(C302="",I302=""),"",IF(E302=Pengaturan!$J$19,I302,0))</f>
        <v/>
      </c>
      <c r="K302" s="36" t="str">
        <f aca="false">IF(OR(C302="",I302=""),"",IF(E302=Pengaturan!$J$20,I302,0))</f>
        <v/>
      </c>
      <c r="L302" s="31" t="str">
        <f aca="false">IF(C302="","",MONTH(C302))</f>
        <v/>
      </c>
      <c r="M302" s="34"/>
      <c r="N302" s="34"/>
      <c r="O302" s="34"/>
    </row>
    <row r="303" customFormat="false" ht="15" hidden="false" customHeight="false" outlineLevel="0" collapsed="false">
      <c r="B303" s="31" t="str">
        <f aca="false">IF(C303="","",ROW()-5)</f>
        <v/>
      </c>
      <c r="C303" s="32"/>
      <c r="D303" s="33"/>
      <c r="E303" s="33"/>
      <c r="F303" s="34"/>
      <c r="G303" s="33"/>
      <c r="H303" s="34"/>
      <c r="I303" s="35"/>
      <c r="J303" s="36" t="str">
        <f aca="false">IF(OR(C303="",I303=""),"",IF(E303=Pengaturan!$J$19,I303,0))</f>
        <v/>
      </c>
      <c r="K303" s="36" t="str">
        <f aca="false">IF(OR(C303="",I303=""),"",IF(E303=Pengaturan!$J$20,I303,0))</f>
        <v/>
      </c>
      <c r="L303" s="31" t="str">
        <f aca="false">IF(C303="","",MONTH(C303))</f>
        <v/>
      </c>
      <c r="M303" s="34"/>
      <c r="N303" s="34"/>
      <c r="O303" s="34"/>
    </row>
    <row r="304" customFormat="false" ht="15" hidden="false" customHeight="false" outlineLevel="0" collapsed="false">
      <c r="B304" s="31" t="str">
        <f aca="false">IF(C304="","",ROW()-5)</f>
        <v/>
      </c>
      <c r="C304" s="32"/>
      <c r="D304" s="33"/>
      <c r="E304" s="33"/>
      <c r="F304" s="34"/>
      <c r="G304" s="33"/>
      <c r="H304" s="34"/>
      <c r="I304" s="35"/>
      <c r="J304" s="36" t="str">
        <f aca="false">IF(OR(C304="",I304=""),"",IF(E304=Pengaturan!$J$19,I304,0))</f>
        <v/>
      </c>
      <c r="K304" s="36" t="str">
        <f aca="false">IF(OR(C304="",I304=""),"",IF(E304=Pengaturan!$J$20,I304,0))</f>
        <v/>
      </c>
      <c r="L304" s="31" t="str">
        <f aca="false">IF(C304="","",MONTH(C304))</f>
        <v/>
      </c>
      <c r="M304" s="34"/>
      <c r="N304" s="34"/>
      <c r="O304" s="34"/>
    </row>
    <row r="305" customFormat="false" ht="15" hidden="false" customHeight="false" outlineLevel="0" collapsed="false">
      <c r="B305" s="31" t="str">
        <f aca="false">IF(C305="","",ROW()-5)</f>
        <v/>
      </c>
      <c r="C305" s="32"/>
      <c r="D305" s="33"/>
      <c r="E305" s="33"/>
      <c r="F305" s="34"/>
      <c r="G305" s="33"/>
      <c r="H305" s="34"/>
      <c r="I305" s="35"/>
      <c r="J305" s="36" t="str">
        <f aca="false">IF(OR(C305="",I305=""),"",IF(E305=Pengaturan!$J$19,I305,0))</f>
        <v/>
      </c>
      <c r="K305" s="36" t="str">
        <f aca="false">IF(OR(C305="",I305=""),"",IF(E305=Pengaturan!$J$20,I305,0))</f>
        <v/>
      </c>
      <c r="L305" s="31" t="str">
        <f aca="false">IF(C305="","",MONTH(C305))</f>
        <v/>
      </c>
      <c r="M305" s="34"/>
      <c r="N305" s="34"/>
      <c r="O305" s="34"/>
    </row>
    <row r="306" customFormat="false" ht="15" hidden="false" customHeight="false" outlineLevel="0" collapsed="false">
      <c r="B306" s="31" t="str">
        <f aca="false">IF(C306="","",ROW()-5)</f>
        <v/>
      </c>
      <c r="C306" s="32"/>
      <c r="D306" s="33"/>
      <c r="E306" s="33"/>
      <c r="F306" s="34"/>
      <c r="G306" s="33"/>
      <c r="H306" s="34"/>
      <c r="I306" s="35"/>
      <c r="J306" s="36" t="str">
        <f aca="false">IF(OR(C306="",I306=""),"",IF(E306=Pengaturan!$J$19,I306,0))</f>
        <v/>
      </c>
      <c r="K306" s="36" t="str">
        <f aca="false">IF(OR(C306="",I306=""),"",IF(E306=Pengaturan!$J$20,I306,0))</f>
        <v/>
      </c>
      <c r="L306" s="31" t="str">
        <f aca="false">IF(C306="","",MONTH(C306))</f>
        <v/>
      </c>
      <c r="M306" s="34"/>
      <c r="N306" s="34"/>
      <c r="O306" s="34"/>
    </row>
    <row r="307" customFormat="false" ht="15" hidden="false" customHeight="false" outlineLevel="0" collapsed="false">
      <c r="B307" s="31" t="str">
        <f aca="false">IF(C307="","",ROW()-5)</f>
        <v/>
      </c>
      <c r="C307" s="32"/>
      <c r="D307" s="33"/>
      <c r="E307" s="33"/>
      <c r="F307" s="34"/>
      <c r="G307" s="33"/>
      <c r="H307" s="34"/>
      <c r="I307" s="35"/>
      <c r="J307" s="36" t="str">
        <f aca="false">IF(OR(C307="",I307=""),"",IF(E307=Pengaturan!$J$19,I307,0))</f>
        <v/>
      </c>
      <c r="K307" s="36" t="str">
        <f aca="false">IF(OR(C307="",I307=""),"",IF(E307=Pengaturan!$J$20,I307,0))</f>
        <v/>
      </c>
      <c r="L307" s="31" t="str">
        <f aca="false">IF(C307="","",MONTH(C307))</f>
        <v/>
      </c>
      <c r="M307" s="34"/>
      <c r="N307" s="34"/>
      <c r="O307" s="34"/>
    </row>
    <row r="308" customFormat="false" ht="15" hidden="false" customHeight="false" outlineLevel="0" collapsed="false">
      <c r="B308" s="31" t="str">
        <f aca="false">IF(C308="","",ROW()-5)</f>
        <v/>
      </c>
      <c r="C308" s="32"/>
      <c r="D308" s="33"/>
      <c r="E308" s="33"/>
      <c r="F308" s="34"/>
      <c r="G308" s="33"/>
      <c r="H308" s="34"/>
      <c r="I308" s="35"/>
      <c r="J308" s="36" t="str">
        <f aca="false">IF(OR(C308="",I308=""),"",IF(E308=Pengaturan!$J$19,I308,0))</f>
        <v/>
      </c>
      <c r="K308" s="36" t="str">
        <f aca="false">IF(OR(C308="",I308=""),"",IF(E308=Pengaturan!$J$20,I308,0))</f>
        <v/>
      </c>
      <c r="L308" s="31" t="str">
        <f aca="false">IF(C308="","",MONTH(C308))</f>
        <v/>
      </c>
      <c r="M308" s="34"/>
      <c r="N308" s="34"/>
      <c r="O308" s="34"/>
    </row>
    <row r="309" customFormat="false" ht="15" hidden="false" customHeight="false" outlineLevel="0" collapsed="false">
      <c r="B309" s="31" t="str">
        <f aca="false">IF(C309="","",ROW()-5)</f>
        <v/>
      </c>
      <c r="C309" s="32"/>
      <c r="D309" s="33"/>
      <c r="E309" s="33"/>
      <c r="F309" s="34"/>
      <c r="G309" s="33"/>
      <c r="H309" s="34"/>
      <c r="I309" s="35"/>
      <c r="J309" s="36" t="str">
        <f aca="false">IF(OR(C309="",I309=""),"",IF(E309=Pengaturan!$J$19,I309,0))</f>
        <v/>
      </c>
      <c r="K309" s="36" t="str">
        <f aca="false">IF(OR(C309="",I309=""),"",IF(E309=Pengaturan!$J$20,I309,0))</f>
        <v/>
      </c>
      <c r="L309" s="31" t="str">
        <f aca="false">IF(C309="","",MONTH(C309))</f>
        <v/>
      </c>
      <c r="M309" s="34"/>
      <c r="N309" s="34"/>
      <c r="O309" s="34"/>
    </row>
    <row r="310" customFormat="false" ht="15" hidden="false" customHeight="false" outlineLevel="0" collapsed="false">
      <c r="B310" s="31" t="str">
        <f aca="false">IF(C310="","",ROW()-5)</f>
        <v/>
      </c>
      <c r="C310" s="32"/>
      <c r="D310" s="33"/>
      <c r="E310" s="33"/>
      <c r="F310" s="34"/>
      <c r="G310" s="33"/>
      <c r="H310" s="34"/>
      <c r="I310" s="35"/>
      <c r="J310" s="36" t="str">
        <f aca="false">IF(OR(C310="",I310=""),"",IF(E310=Pengaturan!$J$19,I310,0))</f>
        <v/>
      </c>
      <c r="K310" s="36" t="str">
        <f aca="false">IF(OR(C310="",I310=""),"",IF(E310=Pengaturan!$J$20,I310,0))</f>
        <v/>
      </c>
      <c r="L310" s="31" t="str">
        <f aca="false">IF(C310="","",MONTH(C310))</f>
        <v/>
      </c>
      <c r="M310" s="34"/>
      <c r="N310" s="34"/>
      <c r="O310" s="34"/>
    </row>
    <row r="311" customFormat="false" ht="15" hidden="false" customHeight="false" outlineLevel="0" collapsed="false">
      <c r="B311" s="31" t="str">
        <f aca="false">IF(C311="","",ROW()-5)</f>
        <v/>
      </c>
      <c r="C311" s="32"/>
      <c r="D311" s="33"/>
      <c r="E311" s="33"/>
      <c r="F311" s="34"/>
      <c r="G311" s="33"/>
      <c r="H311" s="34"/>
      <c r="I311" s="35"/>
      <c r="J311" s="36" t="str">
        <f aca="false">IF(OR(C311="",I311=""),"",IF(E311=Pengaturan!$J$19,I311,0))</f>
        <v/>
      </c>
      <c r="K311" s="36" t="str">
        <f aca="false">IF(OR(C311="",I311=""),"",IF(E311=Pengaturan!$J$20,I311,0))</f>
        <v/>
      </c>
      <c r="L311" s="31" t="str">
        <f aca="false">IF(C311="","",MONTH(C311))</f>
        <v/>
      </c>
      <c r="M311" s="34"/>
      <c r="N311" s="34"/>
      <c r="O311" s="34"/>
    </row>
    <row r="312" customFormat="false" ht="15" hidden="false" customHeight="false" outlineLevel="0" collapsed="false">
      <c r="B312" s="31" t="str">
        <f aca="false">IF(C312="","",ROW()-5)</f>
        <v/>
      </c>
      <c r="C312" s="32"/>
      <c r="D312" s="33"/>
      <c r="E312" s="33"/>
      <c r="F312" s="34"/>
      <c r="G312" s="33"/>
      <c r="H312" s="34"/>
      <c r="I312" s="35"/>
      <c r="J312" s="36" t="str">
        <f aca="false">IF(OR(C312="",I312=""),"",IF(E312=Pengaturan!$J$19,I312,0))</f>
        <v/>
      </c>
      <c r="K312" s="36" t="str">
        <f aca="false">IF(OR(C312="",I312=""),"",IF(E312=Pengaturan!$J$20,I312,0))</f>
        <v/>
      </c>
      <c r="L312" s="31" t="str">
        <f aca="false">IF(C312="","",MONTH(C312))</f>
        <v/>
      </c>
      <c r="M312" s="34"/>
      <c r="N312" s="34"/>
      <c r="O312" s="34"/>
    </row>
    <row r="313" customFormat="false" ht="15" hidden="false" customHeight="false" outlineLevel="0" collapsed="false">
      <c r="B313" s="31" t="str">
        <f aca="false">IF(C313="","",ROW()-5)</f>
        <v/>
      </c>
      <c r="C313" s="32"/>
      <c r="D313" s="33"/>
      <c r="E313" s="33"/>
      <c r="F313" s="34"/>
      <c r="G313" s="33"/>
      <c r="H313" s="34"/>
      <c r="I313" s="35"/>
      <c r="J313" s="36" t="str">
        <f aca="false">IF(OR(C313="",I313=""),"",IF(E313=Pengaturan!$J$19,I313,0))</f>
        <v/>
      </c>
      <c r="K313" s="36" t="str">
        <f aca="false">IF(OR(C313="",I313=""),"",IF(E313=Pengaturan!$J$20,I313,0))</f>
        <v/>
      </c>
      <c r="L313" s="31" t="str">
        <f aca="false">IF(C313="","",MONTH(C313))</f>
        <v/>
      </c>
      <c r="M313" s="34"/>
      <c r="N313" s="34"/>
      <c r="O313" s="34"/>
    </row>
    <row r="314" customFormat="false" ht="15" hidden="false" customHeight="false" outlineLevel="0" collapsed="false">
      <c r="B314" s="31" t="str">
        <f aca="false">IF(C314="","",ROW()-5)</f>
        <v/>
      </c>
      <c r="C314" s="32"/>
      <c r="D314" s="33"/>
      <c r="E314" s="33"/>
      <c r="F314" s="34"/>
      <c r="G314" s="33"/>
      <c r="H314" s="34"/>
      <c r="I314" s="35"/>
      <c r="J314" s="36" t="str">
        <f aca="false">IF(OR(C314="",I314=""),"",IF(E314=Pengaturan!$J$19,I314,0))</f>
        <v/>
      </c>
      <c r="K314" s="36" t="str">
        <f aca="false">IF(OR(C314="",I314=""),"",IF(E314=Pengaturan!$J$20,I314,0))</f>
        <v/>
      </c>
      <c r="L314" s="31" t="str">
        <f aca="false">IF(C314="","",MONTH(C314))</f>
        <v/>
      </c>
      <c r="M314" s="34"/>
      <c r="N314" s="34"/>
      <c r="O314" s="34"/>
    </row>
    <row r="315" customFormat="false" ht="15" hidden="false" customHeight="false" outlineLevel="0" collapsed="false">
      <c r="B315" s="31" t="str">
        <f aca="false">IF(C315="","",ROW()-5)</f>
        <v/>
      </c>
      <c r="C315" s="32"/>
      <c r="D315" s="33"/>
      <c r="E315" s="33"/>
      <c r="F315" s="34"/>
      <c r="G315" s="33"/>
      <c r="H315" s="34"/>
      <c r="I315" s="35"/>
      <c r="J315" s="36" t="str">
        <f aca="false">IF(OR(C315="",I315=""),"",IF(E315=Pengaturan!$J$19,I315,0))</f>
        <v/>
      </c>
      <c r="K315" s="36" t="str">
        <f aca="false">IF(OR(C315="",I315=""),"",IF(E315=Pengaturan!$J$20,I315,0))</f>
        <v/>
      </c>
      <c r="L315" s="31" t="str">
        <f aca="false">IF(C315="","",MONTH(C315))</f>
        <v/>
      </c>
      <c r="M315" s="34"/>
      <c r="N315" s="34"/>
      <c r="O315" s="34"/>
    </row>
    <row r="316" customFormat="false" ht="15" hidden="false" customHeight="false" outlineLevel="0" collapsed="false">
      <c r="B316" s="31" t="str">
        <f aca="false">IF(C316="","",ROW()-5)</f>
        <v/>
      </c>
      <c r="C316" s="32"/>
      <c r="D316" s="33"/>
      <c r="E316" s="33"/>
      <c r="F316" s="34"/>
      <c r="G316" s="33"/>
      <c r="H316" s="34"/>
      <c r="I316" s="35"/>
      <c r="J316" s="36" t="str">
        <f aca="false">IF(OR(C316="",I316=""),"",IF(E316=Pengaturan!$J$19,I316,0))</f>
        <v/>
      </c>
      <c r="K316" s="36" t="str">
        <f aca="false">IF(OR(C316="",I316=""),"",IF(E316=Pengaturan!$J$20,I316,0))</f>
        <v/>
      </c>
      <c r="L316" s="31" t="str">
        <f aca="false">IF(C316="","",MONTH(C316))</f>
        <v/>
      </c>
      <c r="M316" s="34"/>
      <c r="N316" s="34"/>
      <c r="O316" s="34"/>
    </row>
    <row r="317" customFormat="false" ht="15" hidden="false" customHeight="false" outlineLevel="0" collapsed="false">
      <c r="B317" s="31" t="str">
        <f aca="false">IF(C317="","",ROW()-5)</f>
        <v/>
      </c>
      <c r="C317" s="32"/>
      <c r="D317" s="33"/>
      <c r="E317" s="33"/>
      <c r="F317" s="34"/>
      <c r="G317" s="33"/>
      <c r="H317" s="34"/>
      <c r="I317" s="35"/>
      <c r="J317" s="36" t="str">
        <f aca="false">IF(OR(C317="",I317=""),"",IF(E317=Pengaturan!$J$19,I317,0))</f>
        <v/>
      </c>
      <c r="K317" s="36" t="str">
        <f aca="false">IF(OR(C317="",I317=""),"",IF(E317=Pengaturan!$J$20,I317,0))</f>
        <v/>
      </c>
      <c r="L317" s="31" t="str">
        <f aca="false">IF(C317="","",MONTH(C317))</f>
        <v/>
      </c>
      <c r="M317" s="34"/>
      <c r="N317" s="34"/>
      <c r="O317" s="34"/>
    </row>
    <row r="318" customFormat="false" ht="15" hidden="false" customHeight="false" outlineLevel="0" collapsed="false">
      <c r="B318" s="31" t="str">
        <f aca="false">IF(C318="","",ROW()-5)</f>
        <v/>
      </c>
      <c r="C318" s="32"/>
      <c r="D318" s="33"/>
      <c r="E318" s="33"/>
      <c r="F318" s="34"/>
      <c r="G318" s="33"/>
      <c r="H318" s="34"/>
      <c r="I318" s="35"/>
      <c r="J318" s="36" t="str">
        <f aca="false">IF(OR(C318="",I318=""),"",IF(E318=Pengaturan!$J$19,I318,0))</f>
        <v/>
      </c>
      <c r="K318" s="36" t="str">
        <f aca="false">IF(OR(C318="",I318=""),"",IF(E318=Pengaturan!$J$20,I318,0))</f>
        <v/>
      </c>
      <c r="L318" s="31" t="str">
        <f aca="false">IF(C318="","",MONTH(C318))</f>
        <v/>
      </c>
      <c r="M318" s="34"/>
      <c r="N318" s="34"/>
      <c r="O318" s="34"/>
    </row>
    <row r="319" customFormat="false" ht="15" hidden="false" customHeight="false" outlineLevel="0" collapsed="false">
      <c r="B319" s="31" t="str">
        <f aca="false">IF(C319="","",ROW()-5)</f>
        <v/>
      </c>
      <c r="C319" s="32"/>
      <c r="D319" s="33"/>
      <c r="E319" s="33"/>
      <c r="F319" s="34"/>
      <c r="G319" s="33"/>
      <c r="H319" s="34"/>
      <c r="I319" s="35"/>
      <c r="J319" s="36" t="str">
        <f aca="false">IF(OR(C319="",I319=""),"",IF(E319=Pengaturan!$J$19,I319,0))</f>
        <v/>
      </c>
      <c r="K319" s="36" t="str">
        <f aca="false">IF(OR(C319="",I319=""),"",IF(E319=Pengaturan!$J$20,I319,0))</f>
        <v/>
      </c>
      <c r="L319" s="31" t="str">
        <f aca="false">IF(C319="","",MONTH(C319))</f>
        <v/>
      </c>
      <c r="M319" s="34"/>
      <c r="N319" s="34"/>
      <c r="O319" s="34"/>
    </row>
    <row r="320" customFormat="false" ht="15" hidden="false" customHeight="false" outlineLevel="0" collapsed="false">
      <c r="B320" s="31" t="str">
        <f aca="false">IF(C320="","",ROW()-5)</f>
        <v/>
      </c>
      <c r="C320" s="32"/>
      <c r="D320" s="33"/>
      <c r="E320" s="33"/>
      <c r="F320" s="34"/>
      <c r="G320" s="33"/>
      <c r="H320" s="34"/>
      <c r="I320" s="35"/>
      <c r="J320" s="36" t="str">
        <f aca="false">IF(OR(C320="",I320=""),"",IF(E320=Pengaturan!$J$19,I320,0))</f>
        <v/>
      </c>
      <c r="K320" s="36" t="str">
        <f aca="false">IF(OR(C320="",I320=""),"",IF(E320=Pengaturan!$J$20,I320,0))</f>
        <v/>
      </c>
      <c r="L320" s="31" t="str">
        <f aca="false">IF(C320="","",MONTH(C320))</f>
        <v/>
      </c>
      <c r="M320" s="34"/>
      <c r="N320" s="34"/>
      <c r="O320" s="34"/>
    </row>
    <row r="321" customFormat="false" ht="15" hidden="false" customHeight="false" outlineLevel="0" collapsed="false">
      <c r="B321" s="31" t="str">
        <f aca="false">IF(C321="","",ROW()-5)</f>
        <v/>
      </c>
      <c r="C321" s="32"/>
      <c r="D321" s="33"/>
      <c r="E321" s="33"/>
      <c r="F321" s="34"/>
      <c r="G321" s="33"/>
      <c r="H321" s="34"/>
      <c r="I321" s="35"/>
      <c r="J321" s="36" t="str">
        <f aca="false">IF(OR(C321="",I321=""),"",IF(E321=Pengaturan!$J$19,I321,0))</f>
        <v/>
      </c>
      <c r="K321" s="36" t="str">
        <f aca="false">IF(OR(C321="",I321=""),"",IF(E321=Pengaturan!$J$20,I321,0))</f>
        <v/>
      </c>
      <c r="L321" s="31" t="str">
        <f aca="false">IF(C321="","",MONTH(C321))</f>
        <v/>
      </c>
      <c r="M321" s="34"/>
      <c r="N321" s="34"/>
      <c r="O321" s="34"/>
    </row>
    <row r="322" customFormat="false" ht="15" hidden="false" customHeight="false" outlineLevel="0" collapsed="false">
      <c r="B322" s="31" t="str">
        <f aca="false">IF(C322="","",ROW()-5)</f>
        <v/>
      </c>
      <c r="C322" s="32"/>
      <c r="D322" s="33"/>
      <c r="E322" s="33"/>
      <c r="F322" s="34"/>
      <c r="G322" s="33"/>
      <c r="H322" s="34"/>
      <c r="I322" s="35"/>
      <c r="J322" s="36" t="str">
        <f aca="false">IF(OR(C322="",I322=""),"",IF(E322=Pengaturan!$J$19,I322,0))</f>
        <v/>
      </c>
      <c r="K322" s="36" t="str">
        <f aca="false">IF(OR(C322="",I322=""),"",IF(E322=Pengaturan!$J$20,I322,0))</f>
        <v/>
      </c>
      <c r="L322" s="31" t="str">
        <f aca="false">IF(C322="","",MONTH(C322))</f>
        <v/>
      </c>
      <c r="M322" s="34"/>
      <c r="N322" s="34"/>
      <c r="O322" s="34"/>
    </row>
    <row r="323" customFormat="false" ht="15" hidden="false" customHeight="false" outlineLevel="0" collapsed="false">
      <c r="B323" s="31" t="str">
        <f aca="false">IF(C323="","",ROW()-5)</f>
        <v/>
      </c>
      <c r="C323" s="32"/>
      <c r="D323" s="33"/>
      <c r="E323" s="33"/>
      <c r="F323" s="34"/>
      <c r="G323" s="33"/>
      <c r="H323" s="34"/>
      <c r="I323" s="35"/>
      <c r="J323" s="36" t="str">
        <f aca="false">IF(OR(C323="",I323=""),"",IF(E323=Pengaturan!$J$19,I323,0))</f>
        <v/>
      </c>
      <c r="K323" s="36" t="str">
        <f aca="false">IF(OR(C323="",I323=""),"",IF(E323=Pengaturan!$J$20,I323,0))</f>
        <v/>
      </c>
      <c r="L323" s="31" t="str">
        <f aca="false">IF(C323="","",MONTH(C323))</f>
        <v/>
      </c>
      <c r="M323" s="34"/>
      <c r="N323" s="34"/>
      <c r="O323" s="34"/>
    </row>
    <row r="324" customFormat="false" ht="15" hidden="false" customHeight="false" outlineLevel="0" collapsed="false">
      <c r="B324" s="31" t="str">
        <f aca="false">IF(C324="","",ROW()-5)</f>
        <v/>
      </c>
      <c r="C324" s="32"/>
      <c r="D324" s="33"/>
      <c r="E324" s="33"/>
      <c r="F324" s="34"/>
      <c r="G324" s="33"/>
      <c r="H324" s="34"/>
      <c r="I324" s="35"/>
      <c r="J324" s="36" t="str">
        <f aca="false">IF(OR(C324="",I324=""),"",IF(E324=Pengaturan!$J$19,I324,0))</f>
        <v/>
      </c>
      <c r="K324" s="36" t="str">
        <f aca="false">IF(OR(C324="",I324=""),"",IF(E324=Pengaturan!$J$20,I324,0))</f>
        <v/>
      </c>
      <c r="L324" s="31" t="str">
        <f aca="false">IF(C324="","",MONTH(C324))</f>
        <v/>
      </c>
      <c r="M324" s="34"/>
      <c r="N324" s="34"/>
      <c r="O324" s="34"/>
    </row>
    <row r="325" customFormat="false" ht="15" hidden="false" customHeight="false" outlineLevel="0" collapsed="false">
      <c r="B325" s="31" t="str">
        <f aca="false">IF(C325="","",ROW()-5)</f>
        <v/>
      </c>
      <c r="C325" s="32"/>
      <c r="D325" s="33"/>
      <c r="E325" s="33"/>
      <c r="F325" s="34"/>
      <c r="G325" s="33"/>
      <c r="H325" s="34"/>
      <c r="I325" s="35"/>
      <c r="J325" s="36" t="str">
        <f aca="false">IF(OR(C325="",I325=""),"",IF(E325=Pengaturan!$J$19,I325,0))</f>
        <v/>
      </c>
      <c r="K325" s="36" t="str">
        <f aca="false">IF(OR(C325="",I325=""),"",IF(E325=Pengaturan!$J$20,I325,0))</f>
        <v/>
      </c>
      <c r="L325" s="31" t="str">
        <f aca="false">IF(C325="","",MONTH(C325))</f>
        <v/>
      </c>
      <c r="M325" s="34"/>
      <c r="N325" s="34"/>
      <c r="O325" s="34"/>
    </row>
    <row r="326" customFormat="false" ht="15" hidden="false" customHeight="false" outlineLevel="0" collapsed="false">
      <c r="B326" s="31" t="str">
        <f aca="false">IF(C326="","",ROW()-5)</f>
        <v/>
      </c>
      <c r="C326" s="32"/>
      <c r="D326" s="33"/>
      <c r="E326" s="33"/>
      <c r="F326" s="34"/>
      <c r="G326" s="33"/>
      <c r="H326" s="34"/>
      <c r="I326" s="35"/>
      <c r="J326" s="36" t="str">
        <f aca="false">IF(OR(C326="",I326=""),"",IF(E326=Pengaturan!$J$19,I326,0))</f>
        <v/>
      </c>
      <c r="K326" s="36" t="str">
        <f aca="false">IF(OR(C326="",I326=""),"",IF(E326=Pengaturan!$J$20,I326,0))</f>
        <v/>
      </c>
      <c r="L326" s="31" t="str">
        <f aca="false">IF(C326="","",MONTH(C326))</f>
        <v/>
      </c>
      <c r="M326" s="34"/>
      <c r="N326" s="34"/>
      <c r="O326" s="34"/>
    </row>
    <row r="327" customFormat="false" ht="15" hidden="false" customHeight="false" outlineLevel="0" collapsed="false">
      <c r="B327" s="31" t="str">
        <f aca="false">IF(C327="","",ROW()-5)</f>
        <v/>
      </c>
      <c r="C327" s="32"/>
      <c r="D327" s="33"/>
      <c r="E327" s="33"/>
      <c r="F327" s="34"/>
      <c r="G327" s="33"/>
      <c r="H327" s="34"/>
      <c r="I327" s="35"/>
      <c r="J327" s="36" t="str">
        <f aca="false">IF(OR(C327="",I327=""),"",IF(E327=Pengaturan!$J$19,I327,0))</f>
        <v/>
      </c>
      <c r="K327" s="36" t="str">
        <f aca="false">IF(OR(C327="",I327=""),"",IF(E327=Pengaturan!$J$20,I327,0))</f>
        <v/>
      </c>
      <c r="L327" s="31" t="str">
        <f aca="false">IF(C327="","",MONTH(C327))</f>
        <v/>
      </c>
      <c r="M327" s="34"/>
      <c r="N327" s="34"/>
      <c r="O327" s="34"/>
    </row>
    <row r="328" customFormat="false" ht="15" hidden="false" customHeight="false" outlineLevel="0" collapsed="false">
      <c r="B328" s="31" t="str">
        <f aca="false">IF(C328="","",ROW()-5)</f>
        <v/>
      </c>
      <c r="C328" s="32"/>
      <c r="D328" s="33"/>
      <c r="E328" s="33"/>
      <c r="F328" s="34"/>
      <c r="G328" s="33"/>
      <c r="H328" s="34"/>
      <c r="I328" s="35"/>
      <c r="J328" s="36" t="str">
        <f aca="false">IF(OR(C328="",I328=""),"",IF(E328=Pengaturan!$J$19,I328,0))</f>
        <v/>
      </c>
      <c r="K328" s="36" t="str">
        <f aca="false">IF(OR(C328="",I328=""),"",IF(E328=Pengaturan!$J$20,I328,0))</f>
        <v/>
      </c>
      <c r="L328" s="31" t="str">
        <f aca="false">IF(C328="","",MONTH(C328))</f>
        <v/>
      </c>
      <c r="M328" s="34"/>
      <c r="N328" s="34"/>
      <c r="O328" s="34"/>
    </row>
    <row r="329" customFormat="false" ht="15" hidden="false" customHeight="false" outlineLevel="0" collapsed="false">
      <c r="B329" s="31" t="str">
        <f aca="false">IF(C329="","",ROW()-5)</f>
        <v/>
      </c>
      <c r="C329" s="32"/>
      <c r="D329" s="33"/>
      <c r="E329" s="33"/>
      <c r="F329" s="34"/>
      <c r="G329" s="33"/>
      <c r="H329" s="34"/>
      <c r="I329" s="35"/>
      <c r="J329" s="36" t="str">
        <f aca="false">IF(OR(C329="",I329=""),"",IF(E329=Pengaturan!$J$19,I329,0))</f>
        <v/>
      </c>
      <c r="K329" s="36" t="str">
        <f aca="false">IF(OR(C329="",I329=""),"",IF(E329=Pengaturan!$J$20,I329,0))</f>
        <v/>
      </c>
      <c r="L329" s="31" t="str">
        <f aca="false">IF(C329="","",MONTH(C329))</f>
        <v/>
      </c>
      <c r="M329" s="34"/>
      <c r="N329" s="34"/>
      <c r="O329" s="34"/>
    </row>
    <row r="330" customFormat="false" ht="15" hidden="false" customHeight="false" outlineLevel="0" collapsed="false">
      <c r="B330" s="31" t="str">
        <f aca="false">IF(C330="","",ROW()-5)</f>
        <v/>
      </c>
      <c r="C330" s="32"/>
      <c r="D330" s="33"/>
      <c r="E330" s="33"/>
      <c r="F330" s="34"/>
      <c r="G330" s="33"/>
      <c r="H330" s="34"/>
      <c r="I330" s="35"/>
      <c r="J330" s="36" t="str">
        <f aca="false">IF(OR(C330="",I330=""),"",IF(E330=Pengaturan!$J$19,I330,0))</f>
        <v/>
      </c>
      <c r="K330" s="36" t="str">
        <f aca="false">IF(OR(C330="",I330=""),"",IF(E330=Pengaturan!$J$20,I330,0))</f>
        <v/>
      </c>
      <c r="L330" s="31" t="str">
        <f aca="false">IF(C330="","",MONTH(C330))</f>
        <v/>
      </c>
      <c r="M330" s="34"/>
      <c r="N330" s="34"/>
      <c r="O330" s="34"/>
    </row>
    <row r="331" customFormat="false" ht="15" hidden="false" customHeight="false" outlineLevel="0" collapsed="false">
      <c r="B331" s="31" t="str">
        <f aca="false">IF(C331="","",ROW()-5)</f>
        <v/>
      </c>
      <c r="C331" s="32"/>
      <c r="D331" s="33"/>
      <c r="E331" s="33"/>
      <c r="F331" s="34"/>
      <c r="G331" s="33"/>
      <c r="H331" s="34"/>
      <c r="I331" s="35"/>
      <c r="J331" s="36" t="str">
        <f aca="false">IF(OR(C331="",I331=""),"",IF(E331=Pengaturan!$J$19,I331,0))</f>
        <v/>
      </c>
      <c r="K331" s="36" t="str">
        <f aca="false">IF(OR(C331="",I331=""),"",IF(E331=Pengaturan!$J$20,I331,0))</f>
        <v/>
      </c>
      <c r="L331" s="31" t="str">
        <f aca="false">IF(C331="","",MONTH(C331))</f>
        <v/>
      </c>
      <c r="M331" s="34"/>
      <c r="N331" s="34"/>
      <c r="O331" s="34"/>
    </row>
    <row r="332" customFormat="false" ht="15" hidden="false" customHeight="false" outlineLevel="0" collapsed="false">
      <c r="B332" s="31" t="str">
        <f aca="false">IF(C332="","",ROW()-5)</f>
        <v/>
      </c>
      <c r="C332" s="32"/>
      <c r="D332" s="33"/>
      <c r="E332" s="33"/>
      <c r="F332" s="34"/>
      <c r="G332" s="33"/>
      <c r="H332" s="34"/>
      <c r="I332" s="35"/>
      <c r="J332" s="36" t="str">
        <f aca="false">IF(OR(C332="",I332=""),"",IF(E332=Pengaturan!$J$19,I332,0))</f>
        <v/>
      </c>
      <c r="K332" s="36" t="str">
        <f aca="false">IF(OR(C332="",I332=""),"",IF(E332=Pengaturan!$J$20,I332,0))</f>
        <v/>
      </c>
      <c r="L332" s="31" t="str">
        <f aca="false">IF(C332="","",MONTH(C332))</f>
        <v/>
      </c>
      <c r="M332" s="34"/>
      <c r="N332" s="34"/>
      <c r="O332" s="34"/>
    </row>
    <row r="333" customFormat="false" ht="15" hidden="false" customHeight="false" outlineLevel="0" collapsed="false">
      <c r="B333" s="31" t="str">
        <f aca="false">IF(C333="","",ROW()-5)</f>
        <v/>
      </c>
      <c r="C333" s="32"/>
      <c r="D333" s="33"/>
      <c r="E333" s="33"/>
      <c r="F333" s="34"/>
      <c r="G333" s="33"/>
      <c r="H333" s="34"/>
      <c r="I333" s="35"/>
      <c r="J333" s="36" t="str">
        <f aca="false">IF(OR(C333="",I333=""),"",IF(E333=Pengaturan!$J$19,I333,0))</f>
        <v/>
      </c>
      <c r="K333" s="36" t="str">
        <f aca="false">IF(OR(C333="",I333=""),"",IF(E333=Pengaturan!$J$20,I333,0))</f>
        <v/>
      </c>
      <c r="L333" s="31" t="str">
        <f aca="false">IF(C333="","",MONTH(C333))</f>
        <v/>
      </c>
      <c r="M333" s="34"/>
      <c r="N333" s="34"/>
      <c r="O333" s="34"/>
    </row>
    <row r="334" customFormat="false" ht="15" hidden="false" customHeight="false" outlineLevel="0" collapsed="false">
      <c r="B334" s="31" t="str">
        <f aca="false">IF(C334="","",ROW()-5)</f>
        <v/>
      </c>
      <c r="C334" s="32"/>
      <c r="D334" s="33"/>
      <c r="E334" s="33"/>
      <c r="F334" s="34"/>
      <c r="G334" s="33"/>
      <c r="H334" s="34"/>
      <c r="I334" s="35"/>
      <c r="J334" s="36" t="str">
        <f aca="false">IF(OR(C334="",I334=""),"",IF(E334=Pengaturan!$J$19,I334,0))</f>
        <v/>
      </c>
      <c r="K334" s="36" t="str">
        <f aca="false">IF(OR(C334="",I334=""),"",IF(E334=Pengaturan!$J$20,I334,0))</f>
        <v/>
      </c>
      <c r="L334" s="31" t="str">
        <f aca="false">IF(C334="","",MONTH(C334))</f>
        <v/>
      </c>
      <c r="M334" s="34"/>
      <c r="N334" s="34"/>
      <c r="O334" s="34"/>
    </row>
    <row r="335" customFormat="false" ht="15" hidden="false" customHeight="false" outlineLevel="0" collapsed="false">
      <c r="B335" s="31" t="str">
        <f aca="false">IF(C335="","",ROW()-5)</f>
        <v/>
      </c>
      <c r="C335" s="32"/>
      <c r="D335" s="33"/>
      <c r="E335" s="33"/>
      <c r="F335" s="34"/>
      <c r="G335" s="33"/>
      <c r="H335" s="34"/>
      <c r="I335" s="35"/>
      <c r="J335" s="36" t="str">
        <f aca="false">IF(OR(C335="",I335=""),"",IF(E335=Pengaturan!$J$19,I335,0))</f>
        <v/>
      </c>
      <c r="K335" s="36" t="str">
        <f aca="false">IF(OR(C335="",I335=""),"",IF(E335=Pengaturan!$J$20,I335,0))</f>
        <v/>
      </c>
      <c r="L335" s="31" t="str">
        <f aca="false">IF(C335="","",MONTH(C335))</f>
        <v/>
      </c>
      <c r="M335" s="34"/>
      <c r="N335" s="34"/>
      <c r="O335" s="34"/>
    </row>
    <row r="336" customFormat="false" ht="15" hidden="false" customHeight="false" outlineLevel="0" collapsed="false">
      <c r="B336" s="31" t="str">
        <f aca="false">IF(C336="","",ROW()-5)</f>
        <v/>
      </c>
      <c r="C336" s="32"/>
      <c r="D336" s="33"/>
      <c r="E336" s="33"/>
      <c r="F336" s="34"/>
      <c r="G336" s="33"/>
      <c r="H336" s="34"/>
      <c r="I336" s="35"/>
      <c r="J336" s="36" t="str">
        <f aca="false">IF(OR(C336="",I336=""),"",IF(E336=Pengaturan!$J$19,I336,0))</f>
        <v/>
      </c>
      <c r="K336" s="36" t="str">
        <f aca="false">IF(OR(C336="",I336=""),"",IF(E336=Pengaturan!$J$20,I336,0))</f>
        <v/>
      </c>
      <c r="L336" s="31" t="str">
        <f aca="false">IF(C336="","",MONTH(C336))</f>
        <v/>
      </c>
      <c r="M336" s="34"/>
      <c r="N336" s="34"/>
      <c r="O336" s="34"/>
    </row>
    <row r="337" customFormat="false" ht="15" hidden="false" customHeight="false" outlineLevel="0" collapsed="false">
      <c r="B337" s="31" t="str">
        <f aca="false">IF(C337="","",ROW()-5)</f>
        <v/>
      </c>
      <c r="C337" s="32"/>
      <c r="D337" s="33"/>
      <c r="E337" s="33"/>
      <c r="F337" s="34"/>
      <c r="G337" s="33"/>
      <c r="H337" s="34"/>
      <c r="I337" s="35"/>
      <c r="J337" s="36" t="str">
        <f aca="false">IF(OR(C337="",I337=""),"",IF(E337=Pengaturan!$J$19,I337,0))</f>
        <v/>
      </c>
      <c r="K337" s="36" t="str">
        <f aca="false">IF(OR(C337="",I337=""),"",IF(E337=Pengaturan!$J$20,I337,0))</f>
        <v/>
      </c>
      <c r="L337" s="31" t="str">
        <f aca="false">IF(C337="","",MONTH(C337))</f>
        <v/>
      </c>
      <c r="M337" s="34"/>
      <c r="N337" s="34"/>
      <c r="O337" s="34"/>
    </row>
    <row r="338" customFormat="false" ht="15" hidden="false" customHeight="false" outlineLevel="0" collapsed="false">
      <c r="B338" s="31" t="str">
        <f aca="false">IF(C338="","",ROW()-5)</f>
        <v/>
      </c>
      <c r="C338" s="32"/>
      <c r="D338" s="33"/>
      <c r="E338" s="33"/>
      <c r="F338" s="34"/>
      <c r="G338" s="33"/>
      <c r="H338" s="34"/>
      <c r="I338" s="35"/>
      <c r="J338" s="36" t="str">
        <f aca="false">IF(OR(C338="",I338=""),"",IF(E338=Pengaturan!$J$19,I338,0))</f>
        <v/>
      </c>
      <c r="K338" s="36" t="str">
        <f aca="false">IF(OR(C338="",I338=""),"",IF(E338=Pengaturan!$J$20,I338,0))</f>
        <v/>
      </c>
      <c r="L338" s="31" t="str">
        <f aca="false">IF(C338="","",MONTH(C338))</f>
        <v/>
      </c>
      <c r="M338" s="34"/>
      <c r="N338" s="34"/>
      <c r="O338" s="34"/>
    </row>
    <row r="339" customFormat="false" ht="15" hidden="false" customHeight="false" outlineLevel="0" collapsed="false">
      <c r="B339" s="31" t="str">
        <f aca="false">IF(C339="","",ROW()-5)</f>
        <v/>
      </c>
      <c r="C339" s="32"/>
      <c r="D339" s="33"/>
      <c r="E339" s="33"/>
      <c r="F339" s="34"/>
      <c r="G339" s="33"/>
      <c r="H339" s="34"/>
      <c r="I339" s="35"/>
      <c r="J339" s="36" t="str">
        <f aca="false">IF(OR(C339="",I339=""),"",IF(E339=Pengaturan!$J$19,I339,0))</f>
        <v/>
      </c>
      <c r="K339" s="36" t="str">
        <f aca="false">IF(OR(C339="",I339=""),"",IF(E339=Pengaturan!$J$20,I339,0))</f>
        <v/>
      </c>
      <c r="L339" s="31" t="str">
        <f aca="false">IF(C339="","",MONTH(C339))</f>
        <v/>
      </c>
      <c r="M339" s="34"/>
      <c r="N339" s="34"/>
      <c r="O339" s="34"/>
    </row>
    <row r="340" customFormat="false" ht="15" hidden="false" customHeight="false" outlineLevel="0" collapsed="false">
      <c r="B340" s="31" t="str">
        <f aca="false">IF(C340="","",ROW()-5)</f>
        <v/>
      </c>
      <c r="C340" s="32"/>
      <c r="D340" s="33"/>
      <c r="E340" s="33"/>
      <c r="F340" s="34"/>
      <c r="G340" s="33"/>
      <c r="H340" s="34"/>
      <c r="I340" s="35"/>
      <c r="J340" s="36" t="str">
        <f aca="false">IF(OR(C340="",I340=""),"",IF(E340=Pengaturan!$J$19,I340,0))</f>
        <v/>
      </c>
      <c r="K340" s="36" t="str">
        <f aca="false">IF(OR(C340="",I340=""),"",IF(E340=Pengaturan!$J$20,I340,0))</f>
        <v/>
      </c>
      <c r="L340" s="31" t="str">
        <f aca="false">IF(C340="","",MONTH(C340))</f>
        <v/>
      </c>
      <c r="M340" s="34"/>
      <c r="N340" s="34"/>
      <c r="O340" s="34"/>
    </row>
    <row r="341" customFormat="false" ht="15" hidden="false" customHeight="false" outlineLevel="0" collapsed="false">
      <c r="B341" s="31" t="str">
        <f aca="false">IF(C341="","",ROW()-5)</f>
        <v/>
      </c>
      <c r="C341" s="32"/>
      <c r="D341" s="33"/>
      <c r="E341" s="33"/>
      <c r="F341" s="34"/>
      <c r="G341" s="33"/>
      <c r="H341" s="34"/>
      <c r="I341" s="35"/>
      <c r="J341" s="36" t="str">
        <f aca="false">IF(OR(C341="",I341=""),"",IF(E341=Pengaturan!$J$19,I341,0))</f>
        <v/>
      </c>
      <c r="K341" s="36" t="str">
        <f aca="false">IF(OR(C341="",I341=""),"",IF(E341=Pengaturan!$J$20,I341,0))</f>
        <v/>
      </c>
      <c r="L341" s="31" t="str">
        <f aca="false">IF(C341="","",MONTH(C341))</f>
        <v/>
      </c>
      <c r="M341" s="34"/>
      <c r="N341" s="34"/>
      <c r="O341" s="34"/>
    </row>
    <row r="342" customFormat="false" ht="15" hidden="false" customHeight="false" outlineLevel="0" collapsed="false">
      <c r="B342" s="31" t="str">
        <f aca="false">IF(C342="","",ROW()-5)</f>
        <v/>
      </c>
      <c r="C342" s="32"/>
      <c r="D342" s="33"/>
      <c r="E342" s="33"/>
      <c r="F342" s="34"/>
      <c r="G342" s="33"/>
      <c r="H342" s="34"/>
      <c r="I342" s="35"/>
      <c r="J342" s="36" t="str">
        <f aca="false">IF(OR(C342="",I342=""),"",IF(E342=Pengaturan!$J$19,I342,0))</f>
        <v/>
      </c>
      <c r="K342" s="36" t="str">
        <f aca="false">IF(OR(C342="",I342=""),"",IF(E342=Pengaturan!$J$20,I342,0))</f>
        <v/>
      </c>
      <c r="L342" s="31" t="str">
        <f aca="false">IF(C342="","",MONTH(C342))</f>
        <v/>
      </c>
      <c r="M342" s="34"/>
      <c r="N342" s="34"/>
      <c r="O342" s="34"/>
    </row>
    <row r="343" customFormat="false" ht="15" hidden="false" customHeight="false" outlineLevel="0" collapsed="false">
      <c r="B343" s="31" t="str">
        <f aca="false">IF(C343="","",ROW()-5)</f>
        <v/>
      </c>
      <c r="C343" s="32"/>
      <c r="D343" s="33"/>
      <c r="E343" s="33"/>
      <c r="F343" s="34"/>
      <c r="G343" s="33"/>
      <c r="H343" s="34"/>
      <c r="I343" s="35"/>
      <c r="J343" s="36" t="str">
        <f aca="false">IF(OR(C343="",I343=""),"",IF(E343=Pengaturan!$J$19,I343,0))</f>
        <v/>
      </c>
      <c r="K343" s="36" t="str">
        <f aca="false">IF(OR(C343="",I343=""),"",IF(E343=Pengaturan!$J$20,I343,0))</f>
        <v/>
      </c>
      <c r="L343" s="31" t="str">
        <f aca="false">IF(C343="","",MONTH(C343))</f>
        <v/>
      </c>
      <c r="M343" s="34"/>
      <c r="N343" s="34"/>
      <c r="O343" s="34"/>
    </row>
    <row r="344" customFormat="false" ht="15" hidden="false" customHeight="false" outlineLevel="0" collapsed="false">
      <c r="B344" s="31" t="str">
        <f aca="false">IF(C344="","",ROW()-5)</f>
        <v/>
      </c>
      <c r="C344" s="32"/>
      <c r="D344" s="33"/>
      <c r="E344" s="33"/>
      <c r="F344" s="34"/>
      <c r="G344" s="33"/>
      <c r="H344" s="34"/>
      <c r="I344" s="35"/>
      <c r="J344" s="36" t="str">
        <f aca="false">IF(OR(C344="",I344=""),"",IF(E344=Pengaturan!$J$19,I344,0))</f>
        <v/>
      </c>
      <c r="K344" s="36" t="str">
        <f aca="false">IF(OR(C344="",I344=""),"",IF(E344=Pengaturan!$J$20,I344,0))</f>
        <v/>
      </c>
      <c r="L344" s="31" t="str">
        <f aca="false">IF(C344="","",MONTH(C344))</f>
        <v/>
      </c>
      <c r="M344" s="34"/>
      <c r="N344" s="34"/>
      <c r="O344" s="34"/>
    </row>
    <row r="345" customFormat="false" ht="15" hidden="false" customHeight="false" outlineLevel="0" collapsed="false">
      <c r="B345" s="31" t="str">
        <f aca="false">IF(C345="","",ROW()-5)</f>
        <v/>
      </c>
      <c r="C345" s="32"/>
      <c r="D345" s="33"/>
      <c r="E345" s="33"/>
      <c r="F345" s="34"/>
      <c r="G345" s="33"/>
      <c r="H345" s="34"/>
      <c r="I345" s="35"/>
      <c r="J345" s="36" t="str">
        <f aca="false">IF(OR(C345="",I345=""),"",IF(E345=Pengaturan!$J$19,I345,0))</f>
        <v/>
      </c>
      <c r="K345" s="36" t="str">
        <f aca="false">IF(OR(C345="",I345=""),"",IF(E345=Pengaturan!$J$20,I345,0))</f>
        <v/>
      </c>
      <c r="L345" s="31" t="str">
        <f aca="false">IF(C345="","",MONTH(C345))</f>
        <v/>
      </c>
      <c r="M345" s="34"/>
      <c r="N345" s="34"/>
      <c r="O345" s="34"/>
    </row>
    <row r="346" customFormat="false" ht="15" hidden="false" customHeight="false" outlineLevel="0" collapsed="false">
      <c r="B346" s="31" t="str">
        <f aca="false">IF(C346="","",ROW()-5)</f>
        <v/>
      </c>
      <c r="C346" s="32"/>
      <c r="D346" s="33"/>
      <c r="E346" s="33"/>
      <c r="F346" s="34"/>
      <c r="G346" s="33"/>
      <c r="H346" s="34"/>
      <c r="I346" s="35"/>
      <c r="J346" s="36" t="str">
        <f aca="false">IF(OR(C346="",I346=""),"",IF(E346=Pengaturan!$J$19,I346,0))</f>
        <v/>
      </c>
      <c r="K346" s="36" t="str">
        <f aca="false">IF(OR(C346="",I346=""),"",IF(E346=Pengaturan!$J$20,I346,0))</f>
        <v/>
      </c>
      <c r="L346" s="31" t="str">
        <f aca="false">IF(C346="","",MONTH(C346))</f>
        <v/>
      </c>
      <c r="M346" s="34"/>
      <c r="N346" s="34"/>
      <c r="O346" s="34"/>
    </row>
    <row r="347" customFormat="false" ht="15" hidden="false" customHeight="false" outlineLevel="0" collapsed="false">
      <c r="B347" s="31" t="str">
        <f aca="false">IF(C347="","",ROW()-5)</f>
        <v/>
      </c>
      <c r="C347" s="32"/>
      <c r="D347" s="33"/>
      <c r="E347" s="33"/>
      <c r="F347" s="34"/>
      <c r="G347" s="33"/>
      <c r="H347" s="34"/>
      <c r="I347" s="35"/>
      <c r="J347" s="36" t="str">
        <f aca="false">IF(OR(C347="",I347=""),"",IF(E347=Pengaturan!$J$19,I347,0))</f>
        <v/>
      </c>
      <c r="K347" s="36" t="str">
        <f aca="false">IF(OR(C347="",I347=""),"",IF(E347=Pengaturan!$J$20,I347,0))</f>
        <v/>
      </c>
      <c r="L347" s="31" t="str">
        <f aca="false">IF(C347="","",MONTH(C347))</f>
        <v/>
      </c>
      <c r="M347" s="34"/>
      <c r="N347" s="34"/>
      <c r="O347" s="34"/>
    </row>
    <row r="348" customFormat="false" ht="15" hidden="false" customHeight="false" outlineLevel="0" collapsed="false">
      <c r="B348" s="31" t="str">
        <f aca="false">IF(C348="","",ROW()-5)</f>
        <v/>
      </c>
      <c r="C348" s="32"/>
      <c r="D348" s="33"/>
      <c r="E348" s="33"/>
      <c r="F348" s="34"/>
      <c r="G348" s="33"/>
      <c r="H348" s="34"/>
      <c r="I348" s="35"/>
      <c r="J348" s="36" t="str">
        <f aca="false">IF(OR(C348="",I348=""),"",IF(E348=Pengaturan!$J$19,I348,0))</f>
        <v/>
      </c>
      <c r="K348" s="36" t="str">
        <f aca="false">IF(OR(C348="",I348=""),"",IF(E348=Pengaturan!$J$20,I348,0))</f>
        <v/>
      </c>
      <c r="L348" s="31" t="str">
        <f aca="false">IF(C348="","",MONTH(C348))</f>
        <v/>
      </c>
      <c r="M348" s="34"/>
      <c r="N348" s="34"/>
      <c r="O348" s="34"/>
    </row>
    <row r="349" customFormat="false" ht="15" hidden="false" customHeight="false" outlineLevel="0" collapsed="false">
      <c r="B349" s="31" t="str">
        <f aca="false">IF(C349="","",ROW()-5)</f>
        <v/>
      </c>
      <c r="C349" s="32"/>
      <c r="D349" s="33"/>
      <c r="E349" s="33"/>
      <c r="F349" s="34"/>
      <c r="G349" s="33"/>
      <c r="H349" s="34"/>
      <c r="I349" s="35"/>
      <c r="J349" s="36" t="str">
        <f aca="false">IF(OR(C349="",I349=""),"",IF(E349=Pengaturan!$J$19,I349,0))</f>
        <v/>
      </c>
      <c r="K349" s="36" t="str">
        <f aca="false">IF(OR(C349="",I349=""),"",IF(E349=Pengaturan!$J$20,I349,0))</f>
        <v/>
      </c>
      <c r="L349" s="31" t="str">
        <f aca="false">IF(C349="","",MONTH(C349))</f>
        <v/>
      </c>
      <c r="M349" s="34"/>
      <c r="N349" s="34"/>
      <c r="O349" s="34"/>
    </row>
    <row r="350" customFormat="false" ht="15" hidden="false" customHeight="false" outlineLevel="0" collapsed="false">
      <c r="B350" s="31" t="str">
        <f aca="false">IF(C350="","",ROW()-5)</f>
        <v/>
      </c>
      <c r="C350" s="32"/>
      <c r="D350" s="33"/>
      <c r="E350" s="33"/>
      <c r="F350" s="34"/>
      <c r="G350" s="33"/>
      <c r="H350" s="34"/>
      <c r="I350" s="35"/>
      <c r="J350" s="36" t="str">
        <f aca="false">IF(OR(C350="",I350=""),"",IF(E350=Pengaturan!$J$19,I350,0))</f>
        <v/>
      </c>
      <c r="K350" s="36" t="str">
        <f aca="false">IF(OR(C350="",I350=""),"",IF(E350=Pengaturan!$J$20,I350,0))</f>
        <v/>
      </c>
      <c r="L350" s="31" t="str">
        <f aca="false">IF(C350="","",MONTH(C350))</f>
        <v/>
      </c>
      <c r="M350" s="34"/>
      <c r="N350" s="34"/>
      <c r="O350" s="34"/>
    </row>
    <row r="351" customFormat="false" ht="15" hidden="false" customHeight="false" outlineLevel="0" collapsed="false">
      <c r="B351" s="31" t="str">
        <f aca="false">IF(C351="","",ROW()-5)</f>
        <v/>
      </c>
      <c r="C351" s="32"/>
      <c r="D351" s="33"/>
      <c r="E351" s="33"/>
      <c r="F351" s="34"/>
      <c r="G351" s="33"/>
      <c r="H351" s="34"/>
      <c r="I351" s="35"/>
      <c r="J351" s="36" t="str">
        <f aca="false">IF(OR(C351="",I351=""),"",IF(E351=Pengaturan!$J$19,I351,0))</f>
        <v/>
      </c>
      <c r="K351" s="36" t="str">
        <f aca="false">IF(OR(C351="",I351=""),"",IF(E351=Pengaturan!$J$20,I351,0))</f>
        <v/>
      </c>
      <c r="L351" s="31" t="str">
        <f aca="false">IF(C351="","",MONTH(C351))</f>
        <v/>
      </c>
      <c r="M351" s="34"/>
      <c r="N351" s="34"/>
      <c r="O351" s="34"/>
    </row>
    <row r="352" customFormat="false" ht="15" hidden="false" customHeight="false" outlineLevel="0" collapsed="false">
      <c r="B352" s="31" t="str">
        <f aca="false">IF(C352="","",ROW()-5)</f>
        <v/>
      </c>
      <c r="C352" s="32"/>
      <c r="D352" s="33"/>
      <c r="E352" s="33"/>
      <c r="F352" s="34"/>
      <c r="G352" s="33"/>
      <c r="H352" s="34"/>
      <c r="I352" s="35"/>
      <c r="J352" s="36" t="str">
        <f aca="false">IF(OR(C352="",I352=""),"",IF(E352=Pengaturan!$J$19,I352,0))</f>
        <v/>
      </c>
      <c r="K352" s="36" t="str">
        <f aca="false">IF(OR(C352="",I352=""),"",IF(E352=Pengaturan!$J$20,I352,0))</f>
        <v/>
      </c>
      <c r="L352" s="31" t="str">
        <f aca="false">IF(C352="","",MONTH(C352))</f>
        <v/>
      </c>
      <c r="M352" s="34"/>
      <c r="N352" s="34"/>
      <c r="O352" s="34"/>
    </row>
    <row r="353" customFormat="false" ht="15" hidden="false" customHeight="false" outlineLevel="0" collapsed="false">
      <c r="B353" s="31" t="str">
        <f aca="false">IF(C353="","",ROW()-5)</f>
        <v/>
      </c>
      <c r="C353" s="32"/>
      <c r="D353" s="33"/>
      <c r="E353" s="33"/>
      <c r="F353" s="34"/>
      <c r="G353" s="33"/>
      <c r="H353" s="34"/>
      <c r="I353" s="35"/>
      <c r="J353" s="36" t="str">
        <f aca="false">IF(OR(C353="",I353=""),"",IF(E353=Pengaturan!$J$19,I353,0))</f>
        <v/>
      </c>
      <c r="K353" s="36" t="str">
        <f aca="false">IF(OR(C353="",I353=""),"",IF(E353=Pengaturan!$J$20,I353,0))</f>
        <v/>
      </c>
      <c r="L353" s="31" t="str">
        <f aca="false">IF(C353="","",MONTH(C353))</f>
        <v/>
      </c>
      <c r="M353" s="34"/>
      <c r="N353" s="34"/>
      <c r="O353" s="34"/>
    </row>
    <row r="354" customFormat="false" ht="15" hidden="false" customHeight="false" outlineLevel="0" collapsed="false">
      <c r="B354" s="31" t="str">
        <f aca="false">IF(C354="","",ROW()-5)</f>
        <v/>
      </c>
      <c r="C354" s="32"/>
      <c r="D354" s="33"/>
      <c r="E354" s="33"/>
      <c r="F354" s="34"/>
      <c r="G354" s="33"/>
      <c r="H354" s="34"/>
      <c r="I354" s="35"/>
      <c r="J354" s="36" t="str">
        <f aca="false">IF(OR(C354="",I354=""),"",IF(E354=Pengaturan!$J$19,I354,0))</f>
        <v/>
      </c>
      <c r="K354" s="36" t="str">
        <f aca="false">IF(OR(C354="",I354=""),"",IF(E354=Pengaturan!$J$20,I354,0))</f>
        <v/>
      </c>
      <c r="L354" s="31" t="str">
        <f aca="false">IF(C354="","",MONTH(C354))</f>
        <v/>
      </c>
      <c r="M354" s="34"/>
      <c r="N354" s="34"/>
      <c r="O354" s="34"/>
    </row>
    <row r="355" customFormat="false" ht="15" hidden="false" customHeight="false" outlineLevel="0" collapsed="false">
      <c r="B355" s="31" t="str">
        <f aca="false">IF(C355="","",ROW()-5)</f>
        <v/>
      </c>
      <c r="C355" s="32"/>
      <c r="D355" s="33"/>
      <c r="E355" s="33"/>
      <c r="F355" s="34"/>
      <c r="G355" s="33"/>
      <c r="H355" s="34"/>
      <c r="I355" s="35"/>
      <c r="J355" s="36" t="str">
        <f aca="false">IF(OR(C355="",I355=""),"",IF(E355=Pengaturan!$J$19,I355,0))</f>
        <v/>
      </c>
      <c r="K355" s="36" t="str">
        <f aca="false">IF(OR(C355="",I355=""),"",IF(E355=Pengaturan!$J$20,I355,0))</f>
        <v/>
      </c>
      <c r="L355" s="31" t="str">
        <f aca="false">IF(C355="","",MONTH(C355))</f>
        <v/>
      </c>
      <c r="M355" s="34"/>
      <c r="N355" s="34"/>
      <c r="O355" s="34"/>
    </row>
    <row r="356" customFormat="false" ht="15" hidden="false" customHeight="false" outlineLevel="0" collapsed="false">
      <c r="B356" s="31" t="str">
        <f aca="false">IF(C356="","",ROW()-5)</f>
        <v/>
      </c>
      <c r="C356" s="32"/>
      <c r="D356" s="33"/>
      <c r="E356" s="33"/>
      <c r="F356" s="34"/>
      <c r="G356" s="33"/>
      <c r="H356" s="34"/>
      <c r="I356" s="35"/>
      <c r="J356" s="36" t="str">
        <f aca="false">IF(OR(C356="",I356=""),"",IF(E356=Pengaturan!$J$19,I356,0))</f>
        <v/>
      </c>
      <c r="K356" s="36" t="str">
        <f aca="false">IF(OR(C356="",I356=""),"",IF(E356=Pengaturan!$J$20,I356,0))</f>
        <v/>
      </c>
      <c r="L356" s="31" t="str">
        <f aca="false">IF(C356="","",MONTH(C356))</f>
        <v/>
      </c>
      <c r="M356" s="34"/>
      <c r="N356" s="34"/>
      <c r="O356" s="34"/>
    </row>
    <row r="357" customFormat="false" ht="15" hidden="false" customHeight="false" outlineLevel="0" collapsed="false">
      <c r="B357" s="31" t="str">
        <f aca="false">IF(C357="","",ROW()-5)</f>
        <v/>
      </c>
      <c r="C357" s="32"/>
      <c r="D357" s="33"/>
      <c r="E357" s="33"/>
      <c r="F357" s="34"/>
      <c r="G357" s="33"/>
      <c r="H357" s="34"/>
      <c r="I357" s="35"/>
      <c r="J357" s="36" t="str">
        <f aca="false">IF(OR(C357="",I357=""),"",IF(E357=Pengaturan!$J$19,I357,0))</f>
        <v/>
      </c>
      <c r="K357" s="36" t="str">
        <f aca="false">IF(OR(C357="",I357=""),"",IF(E357=Pengaturan!$J$20,I357,0))</f>
        <v/>
      </c>
      <c r="L357" s="31" t="str">
        <f aca="false">IF(C357="","",MONTH(C357))</f>
        <v/>
      </c>
      <c r="M357" s="34"/>
      <c r="N357" s="34"/>
      <c r="O357" s="34"/>
    </row>
    <row r="358" customFormat="false" ht="15" hidden="false" customHeight="false" outlineLevel="0" collapsed="false">
      <c r="B358" s="31" t="str">
        <f aca="false">IF(C358="","",ROW()-5)</f>
        <v/>
      </c>
      <c r="C358" s="32"/>
      <c r="D358" s="33"/>
      <c r="E358" s="33"/>
      <c r="F358" s="34"/>
      <c r="G358" s="33"/>
      <c r="H358" s="34"/>
      <c r="I358" s="35"/>
      <c r="J358" s="36" t="str">
        <f aca="false">IF(OR(C358="",I358=""),"",IF(E358=Pengaturan!$J$19,I358,0))</f>
        <v/>
      </c>
      <c r="K358" s="36" t="str">
        <f aca="false">IF(OR(C358="",I358=""),"",IF(E358=Pengaturan!$J$20,I358,0))</f>
        <v/>
      </c>
      <c r="L358" s="31" t="str">
        <f aca="false">IF(C358="","",MONTH(C358))</f>
        <v/>
      </c>
      <c r="M358" s="34"/>
      <c r="N358" s="34"/>
      <c r="O358" s="34"/>
    </row>
    <row r="359" customFormat="false" ht="15" hidden="false" customHeight="false" outlineLevel="0" collapsed="false">
      <c r="B359" s="31" t="str">
        <f aca="false">IF(C359="","",ROW()-5)</f>
        <v/>
      </c>
      <c r="C359" s="32"/>
      <c r="D359" s="33"/>
      <c r="E359" s="33"/>
      <c r="F359" s="34"/>
      <c r="G359" s="33"/>
      <c r="H359" s="34"/>
      <c r="I359" s="35"/>
      <c r="J359" s="36" t="str">
        <f aca="false">IF(OR(C359="",I359=""),"",IF(E359=Pengaturan!$J$19,I359,0))</f>
        <v/>
      </c>
      <c r="K359" s="36" t="str">
        <f aca="false">IF(OR(C359="",I359=""),"",IF(E359=Pengaturan!$J$20,I359,0))</f>
        <v/>
      </c>
      <c r="L359" s="31" t="str">
        <f aca="false">IF(C359="","",MONTH(C359))</f>
        <v/>
      </c>
      <c r="M359" s="34"/>
      <c r="N359" s="34"/>
      <c r="O359" s="34"/>
    </row>
    <row r="360" customFormat="false" ht="15" hidden="false" customHeight="false" outlineLevel="0" collapsed="false">
      <c r="B360" s="31" t="str">
        <f aca="false">IF(C360="","",ROW()-5)</f>
        <v/>
      </c>
      <c r="C360" s="32"/>
      <c r="D360" s="33"/>
      <c r="E360" s="33"/>
      <c r="F360" s="34"/>
      <c r="G360" s="33"/>
      <c r="H360" s="34"/>
      <c r="I360" s="35"/>
      <c r="J360" s="36" t="str">
        <f aca="false">IF(OR(C360="",I360=""),"",IF(E360=Pengaturan!$J$19,I360,0))</f>
        <v/>
      </c>
      <c r="K360" s="36" t="str">
        <f aca="false">IF(OR(C360="",I360=""),"",IF(E360=Pengaturan!$J$20,I360,0))</f>
        <v/>
      </c>
      <c r="L360" s="31" t="str">
        <f aca="false">IF(C360="","",MONTH(C360))</f>
        <v/>
      </c>
      <c r="M360" s="34"/>
      <c r="N360" s="34"/>
      <c r="O360" s="34"/>
    </row>
    <row r="361" customFormat="false" ht="15" hidden="false" customHeight="false" outlineLevel="0" collapsed="false">
      <c r="B361" s="31" t="str">
        <f aca="false">IF(C361="","",ROW()-5)</f>
        <v/>
      </c>
      <c r="C361" s="32"/>
      <c r="D361" s="33"/>
      <c r="E361" s="33"/>
      <c r="F361" s="34"/>
      <c r="G361" s="33"/>
      <c r="H361" s="34"/>
      <c r="I361" s="35"/>
      <c r="J361" s="36" t="str">
        <f aca="false">IF(OR(C361="",I361=""),"",IF(E361=Pengaturan!$J$19,I361,0))</f>
        <v/>
      </c>
      <c r="K361" s="36" t="str">
        <f aca="false">IF(OR(C361="",I361=""),"",IF(E361=Pengaturan!$J$20,I361,0))</f>
        <v/>
      </c>
      <c r="L361" s="31" t="str">
        <f aca="false">IF(C361="","",MONTH(C361))</f>
        <v/>
      </c>
      <c r="M361" s="34"/>
      <c r="N361" s="34"/>
      <c r="O361" s="34"/>
    </row>
    <row r="362" customFormat="false" ht="15" hidden="false" customHeight="false" outlineLevel="0" collapsed="false">
      <c r="B362" s="31" t="str">
        <f aca="false">IF(C362="","",ROW()-5)</f>
        <v/>
      </c>
      <c r="C362" s="32"/>
      <c r="D362" s="33"/>
      <c r="E362" s="33"/>
      <c r="F362" s="34"/>
      <c r="G362" s="33"/>
      <c r="H362" s="34"/>
      <c r="I362" s="35"/>
      <c r="J362" s="36" t="str">
        <f aca="false">IF(OR(C362="",I362=""),"",IF(E362=Pengaturan!$J$19,I362,0))</f>
        <v/>
      </c>
      <c r="K362" s="36" t="str">
        <f aca="false">IF(OR(C362="",I362=""),"",IF(E362=Pengaturan!$J$20,I362,0))</f>
        <v/>
      </c>
      <c r="L362" s="31" t="str">
        <f aca="false">IF(C362="","",MONTH(C362))</f>
        <v/>
      </c>
      <c r="M362" s="34"/>
      <c r="N362" s="34"/>
      <c r="O362" s="34"/>
    </row>
    <row r="363" customFormat="false" ht="15" hidden="false" customHeight="false" outlineLevel="0" collapsed="false">
      <c r="B363" s="31" t="str">
        <f aca="false">IF(C363="","",ROW()-5)</f>
        <v/>
      </c>
      <c r="C363" s="32"/>
      <c r="D363" s="33"/>
      <c r="E363" s="33"/>
      <c r="F363" s="34"/>
      <c r="G363" s="33"/>
      <c r="H363" s="34"/>
      <c r="I363" s="35"/>
      <c r="J363" s="36" t="str">
        <f aca="false">IF(OR(C363="",I363=""),"",IF(E363=Pengaturan!$J$19,I363,0))</f>
        <v/>
      </c>
      <c r="K363" s="36" t="str">
        <f aca="false">IF(OR(C363="",I363=""),"",IF(E363=Pengaturan!$J$20,I363,0))</f>
        <v/>
      </c>
      <c r="L363" s="31" t="str">
        <f aca="false">IF(C363="","",MONTH(C363))</f>
        <v/>
      </c>
      <c r="M363" s="34"/>
      <c r="N363" s="34"/>
      <c r="O363" s="34"/>
    </row>
    <row r="364" customFormat="false" ht="15" hidden="false" customHeight="false" outlineLevel="0" collapsed="false">
      <c r="B364" s="31" t="str">
        <f aca="false">IF(C364="","",ROW()-5)</f>
        <v/>
      </c>
      <c r="C364" s="32"/>
      <c r="D364" s="33"/>
      <c r="E364" s="33"/>
      <c r="F364" s="34"/>
      <c r="G364" s="33"/>
      <c r="H364" s="34"/>
      <c r="I364" s="35"/>
      <c r="J364" s="36" t="str">
        <f aca="false">IF(OR(C364="",I364=""),"",IF(E364=Pengaturan!$J$19,I364,0))</f>
        <v/>
      </c>
      <c r="K364" s="36" t="str">
        <f aca="false">IF(OR(C364="",I364=""),"",IF(E364=Pengaturan!$J$20,I364,0))</f>
        <v/>
      </c>
      <c r="L364" s="31" t="str">
        <f aca="false">IF(C364="","",MONTH(C364))</f>
        <v/>
      </c>
      <c r="M364" s="34"/>
      <c r="N364" s="34"/>
      <c r="O364" s="34"/>
    </row>
    <row r="365" customFormat="false" ht="15" hidden="false" customHeight="false" outlineLevel="0" collapsed="false">
      <c r="B365" s="31" t="str">
        <f aca="false">IF(C365="","",ROW()-5)</f>
        <v/>
      </c>
      <c r="C365" s="32"/>
      <c r="D365" s="33"/>
      <c r="E365" s="33"/>
      <c r="F365" s="34"/>
      <c r="G365" s="33"/>
      <c r="H365" s="34"/>
      <c r="I365" s="35"/>
      <c r="J365" s="36" t="str">
        <f aca="false">IF(OR(C365="",I365=""),"",IF(E365=Pengaturan!$J$19,I365,0))</f>
        <v/>
      </c>
      <c r="K365" s="36" t="str">
        <f aca="false">IF(OR(C365="",I365=""),"",IF(E365=Pengaturan!$J$20,I365,0))</f>
        <v/>
      </c>
      <c r="L365" s="31" t="str">
        <f aca="false">IF(C365="","",MONTH(C365))</f>
        <v/>
      </c>
      <c r="M365" s="34"/>
      <c r="N365" s="34"/>
      <c r="O365" s="34"/>
    </row>
    <row r="366" customFormat="false" ht="15" hidden="false" customHeight="false" outlineLevel="0" collapsed="false">
      <c r="B366" s="31" t="str">
        <f aca="false">IF(C366="","",ROW()-5)</f>
        <v/>
      </c>
      <c r="C366" s="32"/>
      <c r="D366" s="33"/>
      <c r="E366" s="33"/>
      <c r="F366" s="34"/>
      <c r="G366" s="33"/>
      <c r="H366" s="34"/>
      <c r="I366" s="35"/>
      <c r="J366" s="36" t="str">
        <f aca="false">IF(OR(C366="",I366=""),"",IF(E366=Pengaturan!$J$19,I366,0))</f>
        <v/>
      </c>
      <c r="K366" s="36" t="str">
        <f aca="false">IF(OR(C366="",I366=""),"",IF(E366=Pengaturan!$J$20,I366,0))</f>
        <v/>
      </c>
      <c r="L366" s="31" t="str">
        <f aca="false">IF(C366="","",MONTH(C366))</f>
        <v/>
      </c>
      <c r="M366" s="34"/>
      <c r="N366" s="34"/>
      <c r="O366" s="34"/>
    </row>
    <row r="367" customFormat="false" ht="15" hidden="false" customHeight="false" outlineLevel="0" collapsed="false">
      <c r="B367" s="31" t="str">
        <f aca="false">IF(C367="","",ROW()-5)</f>
        <v/>
      </c>
      <c r="C367" s="32"/>
      <c r="D367" s="33"/>
      <c r="E367" s="33"/>
      <c r="F367" s="34"/>
      <c r="G367" s="33"/>
      <c r="H367" s="34"/>
      <c r="I367" s="35"/>
      <c r="J367" s="36" t="str">
        <f aca="false">IF(OR(C367="",I367=""),"",IF(E367=Pengaturan!$J$19,I367,0))</f>
        <v/>
      </c>
      <c r="K367" s="36" t="str">
        <f aca="false">IF(OR(C367="",I367=""),"",IF(E367=Pengaturan!$J$20,I367,0))</f>
        <v/>
      </c>
      <c r="L367" s="31" t="str">
        <f aca="false">IF(C367="","",MONTH(C367))</f>
        <v/>
      </c>
      <c r="M367" s="34"/>
      <c r="N367" s="34"/>
      <c r="O367" s="34"/>
    </row>
    <row r="368" customFormat="false" ht="15" hidden="false" customHeight="false" outlineLevel="0" collapsed="false">
      <c r="B368" s="31" t="str">
        <f aca="false">IF(C368="","",ROW()-5)</f>
        <v/>
      </c>
      <c r="C368" s="32"/>
      <c r="D368" s="33"/>
      <c r="E368" s="33"/>
      <c r="F368" s="34"/>
      <c r="G368" s="33"/>
      <c r="H368" s="34"/>
      <c r="I368" s="35"/>
      <c r="J368" s="36" t="str">
        <f aca="false">IF(OR(C368="",I368=""),"",IF(E368=Pengaturan!$J$19,I368,0))</f>
        <v/>
      </c>
      <c r="K368" s="36" t="str">
        <f aca="false">IF(OR(C368="",I368=""),"",IF(E368=Pengaturan!$J$20,I368,0))</f>
        <v/>
      </c>
      <c r="L368" s="31" t="str">
        <f aca="false">IF(C368="","",MONTH(C368))</f>
        <v/>
      </c>
      <c r="M368" s="34"/>
      <c r="N368" s="34"/>
      <c r="O368" s="34"/>
    </row>
    <row r="369" customFormat="false" ht="15" hidden="false" customHeight="false" outlineLevel="0" collapsed="false">
      <c r="B369" s="31" t="str">
        <f aca="false">IF(C369="","",ROW()-5)</f>
        <v/>
      </c>
      <c r="C369" s="32"/>
      <c r="D369" s="33"/>
      <c r="E369" s="33"/>
      <c r="F369" s="34"/>
      <c r="G369" s="33"/>
      <c r="H369" s="34"/>
      <c r="I369" s="35"/>
      <c r="J369" s="36" t="str">
        <f aca="false">IF(OR(C369="",I369=""),"",IF(E369=Pengaturan!$J$19,I369,0))</f>
        <v/>
      </c>
      <c r="K369" s="36" t="str">
        <f aca="false">IF(OR(C369="",I369=""),"",IF(E369=Pengaturan!$J$20,I369,0))</f>
        <v/>
      </c>
      <c r="L369" s="31" t="str">
        <f aca="false">IF(C369="","",MONTH(C369))</f>
        <v/>
      </c>
      <c r="M369" s="34"/>
      <c r="N369" s="34"/>
      <c r="O369" s="34"/>
    </row>
    <row r="370" customFormat="false" ht="15" hidden="false" customHeight="false" outlineLevel="0" collapsed="false">
      <c r="B370" s="31" t="str">
        <f aca="false">IF(C370="","",ROW()-5)</f>
        <v/>
      </c>
      <c r="C370" s="32"/>
      <c r="D370" s="33"/>
      <c r="E370" s="33"/>
      <c r="F370" s="34"/>
      <c r="G370" s="33"/>
      <c r="H370" s="34"/>
      <c r="I370" s="35"/>
      <c r="J370" s="36" t="str">
        <f aca="false">IF(OR(C370="",I370=""),"",IF(E370=Pengaturan!$J$19,I370,0))</f>
        <v/>
      </c>
      <c r="K370" s="36" t="str">
        <f aca="false">IF(OR(C370="",I370=""),"",IF(E370=Pengaturan!$J$20,I370,0))</f>
        <v/>
      </c>
      <c r="L370" s="31" t="str">
        <f aca="false">IF(C370="","",MONTH(C370))</f>
        <v/>
      </c>
      <c r="M370" s="34"/>
      <c r="N370" s="34"/>
      <c r="O370" s="34"/>
    </row>
    <row r="371" customFormat="false" ht="15" hidden="false" customHeight="false" outlineLevel="0" collapsed="false">
      <c r="B371" s="31" t="str">
        <f aca="false">IF(C371="","",ROW()-5)</f>
        <v/>
      </c>
      <c r="C371" s="32"/>
      <c r="D371" s="33"/>
      <c r="E371" s="33"/>
      <c r="F371" s="34"/>
      <c r="G371" s="33"/>
      <c r="H371" s="34"/>
      <c r="I371" s="35"/>
      <c r="J371" s="36" t="str">
        <f aca="false">IF(OR(C371="",I371=""),"",IF(E371=Pengaturan!$J$19,I371,0))</f>
        <v/>
      </c>
      <c r="K371" s="36" t="str">
        <f aca="false">IF(OR(C371="",I371=""),"",IF(E371=Pengaturan!$J$20,I371,0))</f>
        <v/>
      </c>
      <c r="L371" s="31" t="str">
        <f aca="false">IF(C371="","",MONTH(C371))</f>
        <v/>
      </c>
      <c r="M371" s="34"/>
      <c r="N371" s="34"/>
      <c r="O371" s="34"/>
    </row>
    <row r="372" customFormat="false" ht="15" hidden="false" customHeight="false" outlineLevel="0" collapsed="false">
      <c r="B372" s="31" t="str">
        <f aca="false">IF(C372="","",ROW()-5)</f>
        <v/>
      </c>
      <c r="C372" s="32"/>
      <c r="D372" s="33"/>
      <c r="E372" s="33"/>
      <c r="F372" s="34"/>
      <c r="G372" s="33"/>
      <c r="H372" s="34"/>
      <c r="I372" s="35"/>
      <c r="J372" s="36" t="str">
        <f aca="false">IF(OR(C372="",I372=""),"",IF(E372=Pengaturan!$J$19,I372,0))</f>
        <v/>
      </c>
      <c r="K372" s="36" t="str">
        <f aca="false">IF(OR(C372="",I372=""),"",IF(E372=Pengaturan!$J$20,I372,0))</f>
        <v/>
      </c>
      <c r="L372" s="31" t="str">
        <f aca="false">IF(C372="","",MONTH(C372))</f>
        <v/>
      </c>
      <c r="M372" s="34"/>
      <c r="N372" s="34"/>
      <c r="O372" s="34"/>
    </row>
    <row r="373" customFormat="false" ht="15" hidden="false" customHeight="false" outlineLevel="0" collapsed="false">
      <c r="B373" s="31" t="str">
        <f aca="false">IF(C373="","",ROW()-5)</f>
        <v/>
      </c>
      <c r="C373" s="32"/>
      <c r="D373" s="33"/>
      <c r="E373" s="33"/>
      <c r="F373" s="34"/>
      <c r="G373" s="33"/>
      <c r="H373" s="34"/>
      <c r="I373" s="35"/>
      <c r="J373" s="36" t="str">
        <f aca="false">IF(OR(C373="",I373=""),"",IF(E373=Pengaturan!$J$19,I373,0))</f>
        <v/>
      </c>
      <c r="K373" s="36" t="str">
        <f aca="false">IF(OR(C373="",I373=""),"",IF(E373=Pengaturan!$J$20,I373,0))</f>
        <v/>
      </c>
      <c r="L373" s="31" t="str">
        <f aca="false">IF(C373="","",MONTH(C373))</f>
        <v/>
      </c>
      <c r="M373" s="34"/>
      <c r="N373" s="34"/>
      <c r="O373" s="34"/>
    </row>
    <row r="374" customFormat="false" ht="15" hidden="false" customHeight="false" outlineLevel="0" collapsed="false">
      <c r="B374" s="31" t="str">
        <f aca="false">IF(C374="","",ROW()-5)</f>
        <v/>
      </c>
      <c r="C374" s="32"/>
      <c r="D374" s="33"/>
      <c r="E374" s="33"/>
      <c r="F374" s="34"/>
      <c r="G374" s="33"/>
      <c r="H374" s="34"/>
      <c r="I374" s="35"/>
      <c r="J374" s="36" t="str">
        <f aca="false">IF(OR(C374="",I374=""),"",IF(E374=Pengaturan!$J$19,I374,0))</f>
        <v/>
      </c>
      <c r="K374" s="36" t="str">
        <f aca="false">IF(OR(C374="",I374=""),"",IF(E374=Pengaturan!$J$20,I374,0))</f>
        <v/>
      </c>
      <c r="L374" s="31" t="str">
        <f aca="false">IF(C374="","",MONTH(C374))</f>
        <v/>
      </c>
      <c r="M374" s="34"/>
      <c r="N374" s="34"/>
      <c r="O374" s="34"/>
    </row>
    <row r="375" customFormat="false" ht="15" hidden="false" customHeight="false" outlineLevel="0" collapsed="false">
      <c r="B375" s="31" t="str">
        <f aca="false">IF(C375="","",ROW()-5)</f>
        <v/>
      </c>
      <c r="C375" s="32"/>
      <c r="D375" s="33"/>
      <c r="E375" s="33"/>
      <c r="F375" s="34"/>
      <c r="G375" s="33"/>
      <c r="H375" s="34"/>
      <c r="I375" s="35"/>
      <c r="J375" s="36" t="str">
        <f aca="false">IF(OR(C375="",I375=""),"",IF(E375=Pengaturan!$J$19,I375,0))</f>
        <v/>
      </c>
      <c r="K375" s="36" t="str">
        <f aca="false">IF(OR(C375="",I375=""),"",IF(E375=Pengaturan!$J$20,I375,0))</f>
        <v/>
      </c>
      <c r="L375" s="31" t="str">
        <f aca="false">IF(C375="","",MONTH(C375))</f>
        <v/>
      </c>
      <c r="M375" s="34"/>
      <c r="N375" s="34"/>
      <c r="O375" s="34"/>
    </row>
    <row r="376" customFormat="false" ht="15" hidden="false" customHeight="false" outlineLevel="0" collapsed="false">
      <c r="B376" s="31" t="str">
        <f aca="false">IF(C376="","",ROW()-5)</f>
        <v/>
      </c>
      <c r="C376" s="32"/>
      <c r="D376" s="33"/>
      <c r="E376" s="33"/>
      <c r="F376" s="34"/>
      <c r="G376" s="33"/>
      <c r="H376" s="34"/>
      <c r="I376" s="35"/>
      <c r="J376" s="36" t="str">
        <f aca="false">IF(OR(C376="",I376=""),"",IF(E376=Pengaturan!$J$19,I376,0))</f>
        <v/>
      </c>
      <c r="K376" s="36" t="str">
        <f aca="false">IF(OR(C376="",I376=""),"",IF(E376=Pengaturan!$J$20,I376,0))</f>
        <v/>
      </c>
      <c r="L376" s="31" t="str">
        <f aca="false">IF(C376="","",MONTH(C376))</f>
        <v/>
      </c>
      <c r="M376" s="34"/>
      <c r="N376" s="34"/>
      <c r="O376" s="34"/>
    </row>
    <row r="377" customFormat="false" ht="15" hidden="false" customHeight="false" outlineLevel="0" collapsed="false">
      <c r="B377" s="31" t="str">
        <f aca="false">IF(C377="","",ROW()-5)</f>
        <v/>
      </c>
      <c r="C377" s="32"/>
      <c r="D377" s="33"/>
      <c r="E377" s="33"/>
      <c r="F377" s="34"/>
      <c r="G377" s="33"/>
      <c r="H377" s="34"/>
      <c r="I377" s="35"/>
      <c r="J377" s="36" t="str">
        <f aca="false">IF(OR(C377="",I377=""),"",IF(E377=Pengaturan!$J$19,I377,0))</f>
        <v/>
      </c>
      <c r="K377" s="36" t="str">
        <f aca="false">IF(OR(C377="",I377=""),"",IF(E377=Pengaturan!$J$20,I377,0))</f>
        <v/>
      </c>
      <c r="L377" s="31" t="str">
        <f aca="false">IF(C377="","",MONTH(C377))</f>
        <v/>
      </c>
      <c r="M377" s="34"/>
      <c r="N377" s="34"/>
      <c r="O377" s="34"/>
    </row>
    <row r="378" customFormat="false" ht="15" hidden="false" customHeight="false" outlineLevel="0" collapsed="false">
      <c r="B378" s="31" t="str">
        <f aca="false">IF(C378="","",ROW()-5)</f>
        <v/>
      </c>
      <c r="C378" s="32"/>
      <c r="D378" s="33"/>
      <c r="E378" s="33"/>
      <c r="F378" s="34"/>
      <c r="G378" s="33"/>
      <c r="H378" s="34"/>
      <c r="I378" s="35"/>
      <c r="J378" s="36" t="str">
        <f aca="false">IF(OR(C378="",I378=""),"",IF(E378=Pengaturan!$J$19,I378,0))</f>
        <v/>
      </c>
      <c r="K378" s="36" t="str">
        <f aca="false">IF(OR(C378="",I378=""),"",IF(E378=Pengaturan!$J$20,I378,0))</f>
        <v/>
      </c>
      <c r="L378" s="31" t="str">
        <f aca="false">IF(C378="","",MONTH(C378))</f>
        <v/>
      </c>
      <c r="M378" s="34"/>
      <c r="N378" s="34"/>
      <c r="O378" s="34"/>
    </row>
    <row r="379" customFormat="false" ht="15" hidden="false" customHeight="false" outlineLevel="0" collapsed="false">
      <c r="B379" s="31" t="str">
        <f aca="false">IF(C379="","",ROW()-5)</f>
        <v/>
      </c>
      <c r="C379" s="32"/>
      <c r="D379" s="33"/>
      <c r="E379" s="33"/>
      <c r="F379" s="34"/>
      <c r="G379" s="33"/>
      <c r="H379" s="34"/>
      <c r="I379" s="35"/>
      <c r="J379" s="36" t="str">
        <f aca="false">IF(OR(C379="",I379=""),"",IF(E379=Pengaturan!$J$19,I379,0))</f>
        <v/>
      </c>
      <c r="K379" s="36" t="str">
        <f aca="false">IF(OR(C379="",I379=""),"",IF(E379=Pengaturan!$J$20,I379,0))</f>
        <v/>
      </c>
      <c r="L379" s="31" t="str">
        <f aca="false">IF(C379="","",MONTH(C379))</f>
        <v/>
      </c>
      <c r="M379" s="34"/>
      <c r="N379" s="34"/>
      <c r="O379" s="34"/>
    </row>
    <row r="380" customFormat="false" ht="15" hidden="false" customHeight="false" outlineLevel="0" collapsed="false">
      <c r="B380" s="31" t="str">
        <f aca="false">IF(C380="","",ROW()-5)</f>
        <v/>
      </c>
      <c r="C380" s="32"/>
      <c r="D380" s="33"/>
      <c r="E380" s="33"/>
      <c r="F380" s="34"/>
      <c r="G380" s="33"/>
      <c r="H380" s="34"/>
      <c r="I380" s="35"/>
      <c r="J380" s="36" t="str">
        <f aca="false">IF(OR(C380="",I380=""),"",IF(E380=Pengaturan!$J$19,I380,0))</f>
        <v/>
      </c>
      <c r="K380" s="36" t="str">
        <f aca="false">IF(OR(C380="",I380=""),"",IF(E380=Pengaturan!$J$20,I380,0))</f>
        <v/>
      </c>
      <c r="L380" s="31" t="str">
        <f aca="false">IF(C380="","",MONTH(C380))</f>
        <v/>
      </c>
      <c r="M380" s="34"/>
      <c r="N380" s="34"/>
      <c r="O380" s="34"/>
    </row>
    <row r="381" customFormat="false" ht="15" hidden="false" customHeight="false" outlineLevel="0" collapsed="false">
      <c r="B381" s="31" t="str">
        <f aca="false">IF(C381="","",ROW()-5)</f>
        <v/>
      </c>
      <c r="C381" s="32"/>
      <c r="D381" s="33"/>
      <c r="E381" s="33"/>
      <c r="F381" s="34"/>
      <c r="G381" s="33"/>
      <c r="H381" s="34"/>
      <c r="I381" s="35"/>
      <c r="J381" s="36" t="str">
        <f aca="false">IF(OR(C381="",I381=""),"",IF(E381=Pengaturan!$J$19,I381,0))</f>
        <v/>
      </c>
      <c r="K381" s="36" t="str">
        <f aca="false">IF(OR(C381="",I381=""),"",IF(E381=Pengaturan!$J$20,I381,0))</f>
        <v/>
      </c>
      <c r="L381" s="31" t="str">
        <f aca="false">IF(C381="","",MONTH(C381))</f>
        <v/>
      </c>
      <c r="M381" s="34"/>
      <c r="N381" s="34"/>
      <c r="O381" s="34"/>
    </row>
    <row r="382" customFormat="false" ht="15" hidden="false" customHeight="false" outlineLevel="0" collapsed="false">
      <c r="B382" s="31" t="str">
        <f aca="false">IF(C382="","",ROW()-5)</f>
        <v/>
      </c>
      <c r="C382" s="32"/>
      <c r="D382" s="33"/>
      <c r="E382" s="33"/>
      <c r="F382" s="34"/>
      <c r="G382" s="33"/>
      <c r="H382" s="34"/>
      <c r="I382" s="35"/>
      <c r="J382" s="36" t="str">
        <f aca="false">IF(OR(C382="",I382=""),"",IF(E382=Pengaturan!$J$19,I382,0))</f>
        <v/>
      </c>
      <c r="K382" s="36" t="str">
        <f aca="false">IF(OR(C382="",I382=""),"",IF(E382=Pengaturan!$J$20,I382,0))</f>
        <v/>
      </c>
      <c r="L382" s="31" t="str">
        <f aca="false">IF(C382="","",MONTH(C382))</f>
        <v/>
      </c>
      <c r="M382" s="34"/>
      <c r="N382" s="34"/>
      <c r="O382" s="34"/>
    </row>
    <row r="383" customFormat="false" ht="15" hidden="false" customHeight="false" outlineLevel="0" collapsed="false">
      <c r="B383" s="31" t="str">
        <f aca="false">IF(C383="","",ROW()-5)</f>
        <v/>
      </c>
      <c r="C383" s="32"/>
      <c r="D383" s="33"/>
      <c r="E383" s="33"/>
      <c r="F383" s="34"/>
      <c r="G383" s="33"/>
      <c r="H383" s="34"/>
      <c r="I383" s="35"/>
      <c r="J383" s="36" t="str">
        <f aca="false">IF(OR(C383="",I383=""),"",IF(E383=Pengaturan!$J$19,I383,0))</f>
        <v/>
      </c>
      <c r="K383" s="36" t="str">
        <f aca="false">IF(OR(C383="",I383=""),"",IF(E383=Pengaturan!$J$20,I383,0))</f>
        <v/>
      </c>
      <c r="L383" s="31" t="str">
        <f aca="false">IF(C383="","",MONTH(C383))</f>
        <v/>
      </c>
      <c r="M383" s="34"/>
      <c r="N383" s="34"/>
      <c r="O383" s="34"/>
    </row>
    <row r="384" customFormat="false" ht="15" hidden="false" customHeight="false" outlineLevel="0" collapsed="false">
      <c r="B384" s="31" t="str">
        <f aca="false">IF(C384="","",ROW()-5)</f>
        <v/>
      </c>
      <c r="C384" s="32"/>
      <c r="D384" s="33"/>
      <c r="E384" s="33"/>
      <c r="F384" s="34"/>
      <c r="G384" s="33"/>
      <c r="H384" s="34"/>
      <c r="I384" s="35"/>
      <c r="J384" s="36" t="str">
        <f aca="false">IF(OR(C384="",I384=""),"",IF(E384=Pengaturan!$J$19,I384,0))</f>
        <v/>
      </c>
      <c r="K384" s="36" t="str">
        <f aca="false">IF(OR(C384="",I384=""),"",IF(E384=Pengaturan!$J$20,I384,0))</f>
        <v/>
      </c>
      <c r="L384" s="31" t="str">
        <f aca="false">IF(C384="","",MONTH(C384))</f>
        <v/>
      </c>
      <c r="M384" s="34"/>
      <c r="N384" s="34"/>
      <c r="O384" s="34"/>
    </row>
    <row r="385" customFormat="false" ht="15" hidden="false" customHeight="false" outlineLevel="0" collapsed="false">
      <c r="B385" s="31" t="str">
        <f aca="false">IF(C385="","",ROW()-5)</f>
        <v/>
      </c>
      <c r="C385" s="32"/>
      <c r="D385" s="33"/>
      <c r="E385" s="33"/>
      <c r="F385" s="34"/>
      <c r="G385" s="33"/>
      <c r="H385" s="34"/>
      <c r="I385" s="35"/>
      <c r="J385" s="36" t="str">
        <f aca="false">IF(OR(C385="",I385=""),"",IF(E385=Pengaturan!$J$19,I385,0))</f>
        <v/>
      </c>
      <c r="K385" s="36" t="str">
        <f aca="false">IF(OR(C385="",I385=""),"",IF(E385=Pengaturan!$J$20,I385,0))</f>
        <v/>
      </c>
      <c r="L385" s="31" t="str">
        <f aca="false">IF(C385="","",MONTH(C385))</f>
        <v/>
      </c>
      <c r="M385" s="34"/>
      <c r="N385" s="34"/>
      <c r="O385" s="34"/>
    </row>
    <row r="386" customFormat="false" ht="15" hidden="false" customHeight="false" outlineLevel="0" collapsed="false">
      <c r="B386" s="31" t="str">
        <f aca="false">IF(C386="","",ROW()-5)</f>
        <v/>
      </c>
      <c r="C386" s="32"/>
      <c r="D386" s="33"/>
      <c r="E386" s="33"/>
      <c r="F386" s="34"/>
      <c r="G386" s="33"/>
      <c r="H386" s="34"/>
      <c r="I386" s="35"/>
      <c r="J386" s="36" t="str">
        <f aca="false">IF(OR(C386="",I386=""),"",IF(E386=Pengaturan!$J$19,I386,0))</f>
        <v/>
      </c>
      <c r="K386" s="36" t="str">
        <f aca="false">IF(OR(C386="",I386=""),"",IF(E386=Pengaturan!$J$20,I386,0))</f>
        <v/>
      </c>
      <c r="L386" s="31" t="str">
        <f aca="false">IF(C386="","",MONTH(C386))</f>
        <v/>
      </c>
      <c r="M386" s="34"/>
      <c r="N386" s="34"/>
      <c r="O386" s="34"/>
    </row>
    <row r="387" customFormat="false" ht="15" hidden="false" customHeight="false" outlineLevel="0" collapsed="false">
      <c r="B387" s="31" t="str">
        <f aca="false">IF(C387="","",ROW()-5)</f>
        <v/>
      </c>
      <c r="C387" s="32"/>
      <c r="D387" s="33"/>
      <c r="E387" s="33"/>
      <c r="F387" s="34"/>
      <c r="G387" s="33"/>
      <c r="H387" s="34"/>
      <c r="I387" s="35"/>
      <c r="J387" s="36" t="str">
        <f aca="false">IF(OR(C387="",I387=""),"",IF(E387=Pengaturan!$J$19,I387,0))</f>
        <v/>
      </c>
      <c r="K387" s="36" t="str">
        <f aca="false">IF(OR(C387="",I387=""),"",IF(E387=Pengaturan!$J$20,I387,0))</f>
        <v/>
      </c>
      <c r="L387" s="31" t="str">
        <f aca="false">IF(C387="","",MONTH(C387))</f>
        <v/>
      </c>
      <c r="M387" s="34"/>
      <c r="N387" s="34"/>
      <c r="O387" s="34"/>
    </row>
    <row r="388" customFormat="false" ht="15" hidden="false" customHeight="false" outlineLevel="0" collapsed="false">
      <c r="B388" s="31" t="str">
        <f aca="false">IF(C388="","",ROW()-5)</f>
        <v/>
      </c>
      <c r="C388" s="32"/>
      <c r="D388" s="33"/>
      <c r="E388" s="33"/>
      <c r="F388" s="34"/>
      <c r="G388" s="33"/>
      <c r="H388" s="34"/>
      <c r="I388" s="35"/>
      <c r="J388" s="36" t="str">
        <f aca="false">IF(OR(C388="",I388=""),"",IF(E388=Pengaturan!$J$19,I388,0))</f>
        <v/>
      </c>
      <c r="K388" s="36" t="str">
        <f aca="false">IF(OR(C388="",I388=""),"",IF(E388=Pengaturan!$J$20,I388,0))</f>
        <v/>
      </c>
      <c r="L388" s="31" t="str">
        <f aca="false">IF(C388="","",MONTH(C388))</f>
        <v/>
      </c>
      <c r="M388" s="34"/>
      <c r="N388" s="34"/>
      <c r="O388" s="34"/>
    </row>
    <row r="389" customFormat="false" ht="15" hidden="false" customHeight="false" outlineLevel="0" collapsed="false">
      <c r="B389" s="31" t="str">
        <f aca="false">IF(C389="","",ROW()-5)</f>
        <v/>
      </c>
      <c r="C389" s="32"/>
      <c r="D389" s="33"/>
      <c r="E389" s="33"/>
      <c r="F389" s="34"/>
      <c r="G389" s="33"/>
      <c r="H389" s="34"/>
      <c r="I389" s="35"/>
      <c r="J389" s="36" t="str">
        <f aca="false">IF(OR(C389="",I389=""),"",IF(E389=Pengaturan!$J$19,I389,0))</f>
        <v/>
      </c>
      <c r="K389" s="36" t="str">
        <f aca="false">IF(OR(C389="",I389=""),"",IF(E389=Pengaturan!$J$20,I389,0))</f>
        <v/>
      </c>
      <c r="L389" s="31" t="str">
        <f aca="false">IF(C389="","",MONTH(C389))</f>
        <v/>
      </c>
      <c r="M389" s="34"/>
      <c r="N389" s="34"/>
      <c r="O389" s="34"/>
    </row>
    <row r="390" customFormat="false" ht="15" hidden="false" customHeight="false" outlineLevel="0" collapsed="false">
      <c r="B390" s="31" t="str">
        <f aca="false">IF(C390="","",ROW()-5)</f>
        <v/>
      </c>
      <c r="C390" s="32"/>
      <c r="D390" s="33"/>
      <c r="E390" s="33"/>
      <c r="F390" s="34"/>
      <c r="G390" s="33"/>
      <c r="H390" s="34"/>
      <c r="I390" s="35"/>
      <c r="J390" s="36" t="str">
        <f aca="false">IF(OR(C390="",I390=""),"",IF(E390=Pengaturan!$J$19,I390,0))</f>
        <v/>
      </c>
      <c r="K390" s="36" t="str">
        <f aca="false">IF(OR(C390="",I390=""),"",IF(E390=Pengaturan!$J$20,I390,0))</f>
        <v/>
      </c>
      <c r="L390" s="31" t="str">
        <f aca="false">IF(C390="","",MONTH(C390))</f>
        <v/>
      </c>
      <c r="M390" s="34"/>
      <c r="N390" s="34"/>
      <c r="O390" s="34"/>
    </row>
    <row r="391" customFormat="false" ht="15" hidden="false" customHeight="false" outlineLevel="0" collapsed="false">
      <c r="B391" s="31" t="str">
        <f aca="false">IF(C391="","",ROW()-5)</f>
        <v/>
      </c>
      <c r="C391" s="32"/>
      <c r="D391" s="33"/>
      <c r="E391" s="33"/>
      <c r="F391" s="34"/>
      <c r="G391" s="33"/>
      <c r="H391" s="34"/>
      <c r="I391" s="35"/>
      <c r="J391" s="36" t="str">
        <f aca="false">IF(OR(C391="",I391=""),"",IF(E391=Pengaturan!$J$19,I391,0))</f>
        <v/>
      </c>
      <c r="K391" s="36" t="str">
        <f aca="false">IF(OR(C391="",I391=""),"",IF(E391=Pengaturan!$J$20,I391,0))</f>
        <v/>
      </c>
      <c r="L391" s="31" t="str">
        <f aca="false">IF(C391="","",MONTH(C391))</f>
        <v/>
      </c>
      <c r="M391" s="34"/>
      <c r="N391" s="34"/>
      <c r="O391" s="34"/>
    </row>
    <row r="392" customFormat="false" ht="15" hidden="false" customHeight="false" outlineLevel="0" collapsed="false">
      <c r="B392" s="31" t="str">
        <f aca="false">IF(C392="","",ROW()-5)</f>
        <v/>
      </c>
      <c r="C392" s="32"/>
      <c r="D392" s="33"/>
      <c r="E392" s="33"/>
      <c r="F392" s="34"/>
      <c r="G392" s="33"/>
      <c r="H392" s="34"/>
      <c r="I392" s="35"/>
      <c r="J392" s="36" t="str">
        <f aca="false">IF(OR(C392="",I392=""),"",IF(E392=Pengaturan!$J$19,I392,0))</f>
        <v/>
      </c>
      <c r="K392" s="36" t="str">
        <f aca="false">IF(OR(C392="",I392=""),"",IF(E392=Pengaturan!$J$20,I392,0))</f>
        <v/>
      </c>
      <c r="L392" s="31" t="str">
        <f aca="false">IF(C392="","",MONTH(C392))</f>
        <v/>
      </c>
      <c r="M392" s="34"/>
      <c r="N392" s="34"/>
      <c r="O392" s="34"/>
    </row>
    <row r="393" customFormat="false" ht="15" hidden="false" customHeight="false" outlineLevel="0" collapsed="false">
      <c r="B393" s="31" t="str">
        <f aca="false">IF(C393="","",ROW()-5)</f>
        <v/>
      </c>
      <c r="C393" s="32"/>
      <c r="D393" s="33"/>
      <c r="E393" s="33"/>
      <c r="F393" s="34"/>
      <c r="G393" s="33"/>
      <c r="H393" s="34"/>
      <c r="I393" s="35"/>
      <c r="J393" s="36" t="str">
        <f aca="false">IF(OR(C393="",I393=""),"",IF(E393=Pengaturan!$J$19,I393,0))</f>
        <v/>
      </c>
      <c r="K393" s="36" t="str">
        <f aca="false">IF(OR(C393="",I393=""),"",IF(E393=Pengaturan!$J$20,I393,0))</f>
        <v/>
      </c>
      <c r="L393" s="31" t="str">
        <f aca="false">IF(C393="","",MONTH(C393))</f>
        <v/>
      </c>
      <c r="M393" s="34"/>
      <c r="N393" s="34"/>
      <c r="O393" s="34"/>
    </row>
    <row r="394" customFormat="false" ht="15" hidden="false" customHeight="false" outlineLevel="0" collapsed="false">
      <c r="B394" s="31" t="str">
        <f aca="false">IF(C394="","",ROW()-5)</f>
        <v/>
      </c>
      <c r="C394" s="32"/>
      <c r="D394" s="33"/>
      <c r="E394" s="33"/>
      <c r="F394" s="34"/>
      <c r="G394" s="33"/>
      <c r="H394" s="34"/>
      <c r="I394" s="35"/>
      <c r="J394" s="36" t="str">
        <f aca="false">IF(OR(C394="",I394=""),"",IF(E394=Pengaturan!$J$19,I394,0))</f>
        <v/>
      </c>
      <c r="K394" s="36" t="str">
        <f aca="false">IF(OR(C394="",I394=""),"",IF(E394=Pengaturan!$J$20,I394,0))</f>
        <v/>
      </c>
      <c r="L394" s="31" t="str">
        <f aca="false">IF(C394="","",MONTH(C394))</f>
        <v/>
      </c>
      <c r="M394" s="34"/>
      <c r="N394" s="34"/>
      <c r="O394" s="34"/>
    </row>
    <row r="395" customFormat="false" ht="15" hidden="false" customHeight="false" outlineLevel="0" collapsed="false">
      <c r="B395" s="31" t="str">
        <f aca="false">IF(C395="","",ROW()-5)</f>
        <v/>
      </c>
      <c r="C395" s="32"/>
      <c r="D395" s="33"/>
      <c r="E395" s="33"/>
      <c r="F395" s="34"/>
      <c r="G395" s="33"/>
      <c r="H395" s="34"/>
      <c r="I395" s="35"/>
      <c r="J395" s="36" t="str">
        <f aca="false">IF(OR(C395="",I395=""),"",IF(E395=Pengaturan!$J$19,I395,0))</f>
        <v/>
      </c>
      <c r="K395" s="36" t="str">
        <f aca="false">IF(OR(C395="",I395=""),"",IF(E395=Pengaturan!$J$20,I395,0))</f>
        <v/>
      </c>
      <c r="L395" s="31" t="str">
        <f aca="false">IF(C395="","",MONTH(C395))</f>
        <v/>
      </c>
      <c r="M395" s="34"/>
      <c r="N395" s="34"/>
      <c r="O395" s="34"/>
    </row>
    <row r="396" customFormat="false" ht="15" hidden="false" customHeight="false" outlineLevel="0" collapsed="false">
      <c r="B396" s="31" t="str">
        <f aca="false">IF(C396="","",ROW()-5)</f>
        <v/>
      </c>
      <c r="C396" s="32"/>
      <c r="D396" s="33"/>
      <c r="E396" s="33"/>
      <c r="F396" s="34"/>
      <c r="G396" s="33"/>
      <c r="H396" s="34"/>
      <c r="I396" s="35"/>
      <c r="J396" s="36" t="str">
        <f aca="false">IF(OR(C396="",I396=""),"",IF(E396=Pengaturan!$J$19,I396,0))</f>
        <v/>
      </c>
      <c r="K396" s="36" t="str">
        <f aca="false">IF(OR(C396="",I396=""),"",IF(E396=Pengaturan!$J$20,I396,0))</f>
        <v/>
      </c>
      <c r="L396" s="31" t="str">
        <f aca="false">IF(C396="","",MONTH(C396))</f>
        <v/>
      </c>
      <c r="M396" s="34"/>
      <c r="N396" s="34"/>
      <c r="O396" s="34"/>
    </row>
    <row r="397" customFormat="false" ht="15" hidden="false" customHeight="false" outlineLevel="0" collapsed="false">
      <c r="B397" s="31" t="str">
        <f aca="false">IF(C397="","",ROW()-5)</f>
        <v/>
      </c>
      <c r="C397" s="32"/>
      <c r="D397" s="33"/>
      <c r="E397" s="33"/>
      <c r="F397" s="34"/>
      <c r="G397" s="33"/>
      <c r="H397" s="34"/>
      <c r="I397" s="35"/>
      <c r="J397" s="36" t="str">
        <f aca="false">IF(OR(C397="",I397=""),"",IF(E397=Pengaturan!$J$19,I397,0))</f>
        <v/>
      </c>
      <c r="K397" s="36" t="str">
        <f aca="false">IF(OR(C397="",I397=""),"",IF(E397=Pengaturan!$J$20,I397,0))</f>
        <v/>
      </c>
      <c r="L397" s="31" t="str">
        <f aca="false">IF(C397="","",MONTH(C397))</f>
        <v/>
      </c>
      <c r="M397" s="34"/>
      <c r="N397" s="34"/>
      <c r="O397" s="34"/>
    </row>
    <row r="398" customFormat="false" ht="15" hidden="false" customHeight="false" outlineLevel="0" collapsed="false">
      <c r="B398" s="31" t="str">
        <f aca="false">IF(C398="","",ROW()-5)</f>
        <v/>
      </c>
      <c r="C398" s="32"/>
      <c r="D398" s="33"/>
      <c r="E398" s="33"/>
      <c r="F398" s="34"/>
      <c r="G398" s="33"/>
      <c r="H398" s="34"/>
      <c r="I398" s="35"/>
      <c r="J398" s="36" t="str">
        <f aca="false">IF(OR(C398="",I398=""),"",IF(E398=Pengaturan!$J$19,I398,0))</f>
        <v/>
      </c>
      <c r="K398" s="36" t="str">
        <f aca="false">IF(OR(C398="",I398=""),"",IF(E398=Pengaturan!$J$20,I398,0))</f>
        <v/>
      </c>
      <c r="L398" s="31" t="str">
        <f aca="false">IF(C398="","",MONTH(C398))</f>
        <v/>
      </c>
      <c r="M398" s="34"/>
      <c r="N398" s="34"/>
      <c r="O398" s="34"/>
    </row>
    <row r="399" customFormat="false" ht="15" hidden="false" customHeight="false" outlineLevel="0" collapsed="false">
      <c r="B399" s="31" t="str">
        <f aca="false">IF(C399="","",ROW()-5)</f>
        <v/>
      </c>
      <c r="C399" s="32"/>
      <c r="D399" s="33"/>
      <c r="E399" s="33"/>
      <c r="F399" s="34"/>
      <c r="G399" s="33"/>
      <c r="H399" s="34"/>
      <c r="I399" s="35"/>
      <c r="J399" s="36" t="str">
        <f aca="false">IF(OR(C399="",I399=""),"",IF(E399=Pengaturan!$J$19,I399,0))</f>
        <v/>
      </c>
      <c r="K399" s="36" t="str">
        <f aca="false">IF(OR(C399="",I399=""),"",IF(E399=Pengaturan!$J$20,I399,0))</f>
        <v/>
      </c>
      <c r="L399" s="31" t="str">
        <f aca="false">IF(C399="","",MONTH(C399))</f>
        <v/>
      </c>
      <c r="M399" s="34"/>
      <c r="N399" s="34"/>
      <c r="O399" s="34"/>
    </row>
    <row r="400" customFormat="false" ht="15" hidden="false" customHeight="false" outlineLevel="0" collapsed="false">
      <c r="B400" s="31" t="str">
        <f aca="false">IF(C400="","",ROW()-5)</f>
        <v/>
      </c>
      <c r="C400" s="32"/>
      <c r="D400" s="33"/>
      <c r="E400" s="33"/>
      <c r="F400" s="34"/>
      <c r="G400" s="33"/>
      <c r="H400" s="34"/>
      <c r="I400" s="35"/>
      <c r="J400" s="36" t="str">
        <f aca="false">IF(OR(C400="",I400=""),"",IF(E400=Pengaturan!$J$19,I400,0))</f>
        <v/>
      </c>
      <c r="K400" s="36" t="str">
        <f aca="false">IF(OR(C400="",I400=""),"",IF(E400=Pengaturan!$J$20,I400,0))</f>
        <v/>
      </c>
      <c r="L400" s="31" t="str">
        <f aca="false">IF(C400="","",MONTH(C400))</f>
        <v/>
      </c>
      <c r="M400" s="34"/>
      <c r="N400" s="34"/>
      <c r="O400" s="34"/>
    </row>
    <row r="401" customFormat="false" ht="15" hidden="false" customHeight="false" outlineLevel="0" collapsed="false">
      <c r="B401" s="31" t="str">
        <f aca="false">IF(C401="","",ROW()-5)</f>
        <v/>
      </c>
      <c r="C401" s="32"/>
      <c r="D401" s="33"/>
      <c r="E401" s="33"/>
      <c r="F401" s="34"/>
      <c r="G401" s="33"/>
      <c r="H401" s="34"/>
      <c r="I401" s="35"/>
      <c r="J401" s="36" t="str">
        <f aca="false">IF(OR(C401="",I401=""),"",IF(E401=Pengaturan!$J$19,I401,0))</f>
        <v/>
      </c>
      <c r="K401" s="36" t="str">
        <f aca="false">IF(OR(C401="",I401=""),"",IF(E401=Pengaturan!$J$20,I401,0))</f>
        <v/>
      </c>
      <c r="L401" s="31" t="str">
        <f aca="false">IF(C401="","",MONTH(C401))</f>
        <v/>
      </c>
      <c r="M401" s="34"/>
      <c r="N401" s="34"/>
      <c r="O401" s="34"/>
    </row>
    <row r="402" customFormat="false" ht="15" hidden="false" customHeight="false" outlineLevel="0" collapsed="false">
      <c r="B402" s="31" t="str">
        <f aca="false">IF(C402="","",ROW()-5)</f>
        <v/>
      </c>
      <c r="C402" s="32"/>
      <c r="D402" s="33"/>
      <c r="E402" s="33"/>
      <c r="F402" s="34"/>
      <c r="G402" s="33"/>
      <c r="H402" s="34"/>
      <c r="I402" s="35"/>
      <c r="J402" s="36" t="str">
        <f aca="false">IF(OR(C402="",I402=""),"",IF(E402=Pengaturan!$J$19,I402,0))</f>
        <v/>
      </c>
      <c r="K402" s="36" t="str">
        <f aca="false">IF(OR(C402="",I402=""),"",IF(E402=Pengaturan!$J$20,I402,0))</f>
        <v/>
      </c>
      <c r="L402" s="31" t="str">
        <f aca="false">IF(C402="","",MONTH(C402))</f>
        <v/>
      </c>
      <c r="M402" s="34"/>
      <c r="N402" s="34"/>
      <c r="O402" s="34"/>
    </row>
    <row r="403" customFormat="false" ht="15" hidden="false" customHeight="false" outlineLevel="0" collapsed="false">
      <c r="B403" s="31" t="str">
        <f aca="false">IF(C403="","",ROW()-5)</f>
        <v/>
      </c>
      <c r="C403" s="32"/>
      <c r="D403" s="33"/>
      <c r="E403" s="33"/>
      <c r="F403" s="34"/>
      <c r="G403" s="33"/>
      <c r="H403" s="34"/>
      <c r="I403" s="35"/>
      <c r="J403" s="36" t="str">
        <f aca="false">IF(OR(C403="",I403=""),"",IF(E403=Pengaturan!$J$19,I403,0))</f>
        <v/>
      </c>
      <c r="K403" s="36" t="str">
        <f aca="false">IF(OR(C403="",I403=""),"",IF(E403=Pengaturan!$J$20,I403,0))</f>
        <v/>
      </c>
      <c r="L403" s="31" t="str">
        <f aca="false">IF(C403="","",MONTH(C403))</f>
        <v/>
      </c>
      <c r="M403" s="34"/>
      <c r="N403" s="34"/>
      <c r="O403" s="34"/>
    </row>
    <row r="404" customFormat="false" ht="15" hidden="false" customHeight="false" outlineLevel="0" collapsed="false">
      <c r="B404" s="31" t="str">
        <f aca="false">IF(C404="","",ROW()-5)</f>
        <v/>
      </c>
      <c r="C404" s="32"/>
      <c r="D404" s="33"/>
      <c r="E404" s="33"/>
      <c r="F404" s="34"/>
      <c r="G404" s="33"/>
      <c r="H404" s="34"/>
      <c r="I404" s="35"/>
      <c r="J404" s="36" t="str">
        <f aca="false">IF(OR(C404="",I404=""),"",IF(E404=Pengaturan!$J$19,I404,0))</f>
        <v/>
      </c>
      <c r="K404" s="36" t="str">
        <f aca="false">IF(OR(C404="",I404=""),"",IF(E404=Pengaturan!$J$20,I404,0))</f>
        <v/>
      </c>
      <c r="L404" s="31" t="str">
        <f aca="false">IF(C404="","",MONTH(C404))</f>
        <v/>
      </c>
      <c r="M404" s="34"/>
      <c r="N404" s="34"/>
      <c r="O404" s="34"/>
    </row>
    <row r="405" customFormat="false" ht="15" hidden="false" customHeight="false" outlineLevel="0" collapsed="false">
      <c r="B405" s="31" t="str">
        <f aca="false">IF(C405="","",ROW()-5)</f>
        <v/>
      </c>
      <c r="C405" s="32"/>
      <c r="D405" s="33"/>
      <c r="E405" s="33"/>
      <c r="F405" s="34"/>
      <c r="G405" s="33"/>
      <c r="H405" s="34"/>
      <c r="I405" s="35"/>
      <c r="J405" s="36" t="str">
        <f aca="false">IF(OR(C405="",I405=""),"",IF(E405=Pengaturan!$J$19,I405,0))</f>
        <v/>
      </c>
      <c r="K405" s="36" t="str">
        <f aca="false">IF(OR(C405="",I405=""),"",IF(E405=Pengaturan!$J$20,I405,0))</f>
        <v/>
      </c>
      <c r="L405" s="31" t="str">
        <f aca="false">IF(C405="","",MONTH(C405))</f>
        <v/>
      </c>
      <c r="M405" s="34"/>
      <c r="N405" s="34"/>
      <c r="O405" s="34"/>
    </row>
    <row r="406" customFormat="false" ht="15" hidden="false" customHeight="false" outlineLevel="0" collapsed="false">
      <c r="B406" s="31" t="str">
        <f aca="false">IF(C406="","",ROW()-5)</f>
        <v/>
      </c>
      <c r="C406" s="32"/>
      <c r="D406" s="33"/>
      <c r="E406" s="33"/>
      <c r="F406" s="34"/>
      <c r="G406" s="33"/>
      <c r="H406" s="34"/>
      <c r="I406" s="35"/>
      <c r="J406" s="36" t="str">
        <f aca="false">IF(OR(C406="",I406=""),"",IF(E406=Pengaturan!$J$19,I406,0))</f>
        <v/>
      </c>
      <c r="K406" s="36" t="str">
        <f aca="false">IF(OR(C406="",I406=""),"",IF(E406=Pengaturan!$J$20,I406,0))</f>
        <v/>
      </c>
      <c r="L406" s="31" t="str">
        <f aca="false">IF(C406="","",MONTH(C406))</f>
        <v/>
      </c>
      <c r="M406" s="34"/>
      <c r="N406" s="34"/>
      <c r="O406" s="34"/>
    </row>
    <row r="407" customFormat="false" ht="15" hidden="false" customHeight="false" outlineLevel="0" collapsed="false">
      <c r="B407" s="31" t="str">
        <f aca="false">IF(C407="","",ROW()-5)</f>
        <v/>
      </c>
      <c r="C407" s="32"/>
      <c r="D407" s="33"/>
      <c r="E407" s="33"/>
      <c r="F407" s="34"/>
      <c r="G407" s="33"/>
      <c r="H407" s="34"/>
      <c r="I407" s="35"/>
      <c r="J407" s="36" t="str">
        <f aca="false">IF(OR(C407="",I407=""),"",IF(E407=Pengaturan!$J$19,I407,0))</f>
        <v/>
      </c>
      <c r="K407" s="36" t="str">
        <f aca="false">IF(OR(C407="",I407=""),"",IF(E407=Pengaturan!$J$20,I407,0))</f>
        <v/>
      </c>
      <c r="L407" s="31" t="str">
        <f aca="false">IF(C407="","",MONTH(C407))</f>
        <v/>
      </c>
      <c r="M407" s="34"/>
      <c r="N407" s="34"/>
      <c r="O407" s="34"/>
    </row>
    <row r="408" customFormat="false" ht="15" hidden="false" customHeight="false" outlineLevel="0" collapsed="false">
      <c r="B408" s="31" t="str">
        <f aca="false">IF(C408="","",ROW()-5)</f>
        <v/>
      </c>
      <c r="C408" s="32"/>
      <c r="D408" s="33"/>
      <c r="E408" s="33"/>
      <c r="F408" s="34"/>
      <c r="G408" s="33"/>
      <c r="H408" s="34"/>
      <c r="I408" s="35"/>
      <c r="J408" s="36" t="str">
        <f aca="false">IF(OR(C408="",I408=""),"",IF(E408=Pengaturan!$J$19,I408,0))</f>
        <v/>
      </c>
      <c r="K408" s="36" t="str">
        <f aca="false">IF(OR(C408="",I408=""),"",IF(E408=Pengaturan!$J$20,I408,0))</f>
        <v/>
      </c>
      <c r="L408" s="31" t="str">
        <f aca="false">IF(C408="","",MONTH(C408))</f>
        <v/>
      </c>
      <c r="M408" s="34"/>
      <c r="N408" s="34"/>
      <c r="O408" s="34"/>
    </row>
    <row r="409" customFormat="false" ht="15" hidden="false" customHeight="false" outlineLevel="0" collapsed="false">
      <c r="B409" s="31" t="str">
        <f aca="false">IF(C409="","",ROW()-5)</f>
        <v/>
      </c>
      <c r="C409" s="32"/>
      <c r="D409" s="33"/>
      <c r="E409" s="33"/>
      <c r="F409" s="34"/>
      <c r="G409" s="33"/>
      <c r="H409" s="34"/>
      <c r="I409" s="35"/>
      <c r="J409" s="36" t="str">
        <f aca="false">IF(OR(C409="",I409=""),"",IF(E409=Pengaturan!$J$19,I409,0))</f>
        <v/>
      </c>
      <c r="K409" s="36" t="str">
        <f aca="false">IF(OR(C409="",I409=""),"",IF(E409=Pengaturan!$J$20,I409,0))</f>
        <v/>
      </c>
      <c r="L409" s="31" t="str">
        <f aca="false">IF(C409="","",MONTH(C409))</f>
        <v/>
      </c>
      <c r="M409" s="34"/>
      <c r="N409" s="34"/>
      <c r="O409" s="34"/>
    </row>
    <row r="410" customFormat="false" ht="15" hidden="false" customHeight="false" outlineLevel="0" collapsed="false">
      <c r="B410" s="31" t="str">
        <f aca="false">IF(C410="","",ROW()-5)</f>
        <v/>
      </c>
      <c r="C410" s="32"/>
      <c r="D410" s="33"/>
      <c r="E410" s="33"/>
      <c r="F410" s="34"/>
      <c r="G410" s="33"/>
      <c r="H410" s="34"/>
      <c r="I410" s="35"/>
      <c r="J410" s="36" t="str">
        <f aca="false">IF(OR(C410="",I410=""),"",IF(E410=Pengaturan!$J$19,I410,0))</f>
        <v/>
      </c>
      <c r="K410" s="36" t="str">
        <f aca="false">IF(OR(C410="",I410=""),"",IF(E410=Pengaturan!$J$20,I410,0))</f>
        <v/>
      </c>
      <c r="L410" s="31" t="str">
        <f aca="false">IF(C410="","",MONTH(C410))</f>
        <v/>
      </c>
      <c r="M410" s="34"/>
      <c r="N410" s="34"/>
      <c r="O410" s="34"/>
    </row>
    <row r="411" customFormat="false" ht="15" hidden="false" customHeight="false" outlineLevel="0" collapsed="false">
      <c r="B411" s="31" t="str">
        <f aca="false">IF(C411="","",ROW()-5)</f>
        <v/>
      </c>
      <c r="C411" s="32"/>
      <c r="D411" s="33"/>
      <c r="E411" s="33"/>
      <c r="F411" s="34"/>
      <c r="G411" s="33"/>
      <c r="H411" s="34"/>
      <c r="I411" s="35"/>
      <c r="J411" s="36" t="str">
        <f aca="false">IF(OR(C411="",I411=""),"",IF(E411=Pengaturan!$J$19,I411,0))</f>
        <v/>
      </c>
      <c r="K411" s="36" t="str">
        <f aca="false">IF(OR(C411="",I411=""),"",IF(E411=Pengaturan!$J$20,I411,0))</f>
        <v/>
      </c>
      <c r="L411" s="31" t="str">
        <f aca="false">IF(C411="","",MONTH(C411))</f>
        <v/>
      </c>
      <c r="M411" s="34"/>
      <c r="N411" s="34"/>
      <c r="O411" s="34"/>
    </row>
    <row r="412" customFormat="false" ht="15" hidden="false" customHeight="false" outlineLevel="0" collapsed="false">
      <c r="B412" s="31" t="str">
        <f aca="false">IF(C412="","",ROW()-5)</f>
        <v/>
      </c>
      <c r="C412" s="32"/>
      <c r="D412" s="33"/>
      <c r="E412" s="33"/>
      <c r="F412" s="34"/>
      <c r="G412" s="33"/>
      <c r="H412" s="34"/>
      <c r="I412" s="35"/>
      <c r="J412" s="36" t="str">
        <f aca="false">IF(OR(C412="",I412=""),"",IF(E412=Pengaturan!$J$19,I412,0))</f>
        <v/>
      </c>
      <c r="K412" s="36" t="str">
        <f aca="false">IF(OR(C412="",I412=""),"",IF(E412=Pengaturan!$J$20,I412,0))</f>
        <v/>
      </c>
      <c r="L412" s="31" t="str">
        <f aca="false">IF(C412="","",MONTH(C412))</f>
        <v/>
      </c>
      <c r="M412" s="34"/>
      <c r="N412" s="34"/>
      <c r="O412" s="34"/>
    </row>
    <row r="413" customFormat="false" ht="15" hidden="false" customHeight="false" outlineLevel="0" collapsed="false">
      <c r="B413" s="31" t="str">
        <f aca="false">IF(C413="","",ROW()-5)</f>
        <v/>
      </c>
      <c r="C413" s="32"/>
      <c r="D413" s="33"/>
      <c r="E413" s="33"/>
      <c r="F413" s="34"/>
      <c r="G413" s="33"/>
      <c r="H413" s="34"/>
      <c r="I413" s="35"/>
      <c r="J413" s="36" t="str">
        <f aca="false">IF(OR(C413="",I413=""),"",IF(E413=Pengaturan!$J$19,I413,0))</f>
        <v/>
      </c>
      <c r="K413" s="36" t="str">
        <f aca="false">IF(OR(C413="",I413=""),"",IF(E413=Pengaturan!$J$20,I413,0))</f>
        <v/>
      </c>
      <c r="L413" s="31" t="str">
        <f aca="false">IF(C413="","",MONTH(C413))</f>
        <v/>
      </c>
      <c r="M413" s="34"/>
      <c r="N413" s="34"/>
      <c r="O413" s="34"/>
    </row>
    <row r="414" customFormat="false" ht="15" hidden="false" customHeight="false" outlineLevel="0" collapsed="false">
      <c r="B414" s="31" t="str">
        <f aca="false">IF(C414="","",ROW()-5)</f>
        <v/>
      </c>
      <c r="C414" s="32"/>
      <c r="D414" s="33"/>
      <c r="E414" s="33"/>
      <c r="F414" s="34"/>
      <c r="G414" s="33"/>
      <c r="H414" s="34"/>
      <c r="I414" s="35"/>
      <c r="J414" s="36" t="str">
        <f aca="false">IF(OR(C414="",I414=""),"",IF(E414=Pengaturan!$J$19,I414,0))</f>
        <v/>
      </c>
      <c r="K414" s="36" t="str">
        <f aca="false">IF(OR(C414="",I414=""),"",IF(E414=Pengaturan!$J$20,I414,0))</f>
        <v/>
      </c>
      <c r="L414" s="31" t="str">
        <f aca="false">IF(C414="","",MONTH(C414))</f>
        <v/>
      </c>
      <c r="M414" s="34"/>
      <c r="N414" s="34"/>
      <c r="O414" s="34"/>
    </row>
    <row r="415" customFormat="false" ht="15" hidden="false" customHeight="false" outlineLevel="0" collapsed="false">
      <c r="B415" s="31" t="str">
        <f aca="false">IF(C415="","",ROW()-5)</f>
        <v/>
      </c>
      <c r="C415" s="32"/>
      <c r="D415" s="33"/>
      <c r="E415" s="33"/>
      <c r="F415" s="34"/>
      <c r="G415" s="33"/>
      <c r="H415" s="34"/>
      <c r="I415" s="35"/>
      <c r="J415" s="36" t="str">
        <f aca="false">IF(OR(C415="",I415=""),"",IF(E415=Pengaturan!$J$19,I415,0))</f>
        <v/>
      </c>
      <c r="K415" s="36" t="str">
        <f aca="false">IF(OR(C415="",I415=""),"",IF(E415=Pengaturan!$J$20,I415,0))</f>
        <v/>
      </c>
      <c r="L415" s="31" t="str">
        <f aca="false">IF(C415="","",MONTH(C415))</f>
        <v/>
      </c>
      <c r="M415" s="34"/>
      <c r="N415" s="34"/>
      <c r="O415" s="34"/>
    </row>
    <row r="416" customFormat="false" ht="15" hidden="false" customHeight="false" outlineLevel="0" collapsed="false">
      <c r="B416" s="31" t="str">
        <f aca="false">IF(C416="","",ROW()-5)</f>
        <v/>
      </c>
      <c r="C416" s="32"/>
      <c r="D416" s="33"/>
      <c r="E416" s="33"/>
      <c r="F416" s="34"/>
      <c r="G416" s="33"/>
      <c r="H416" s="34"/>
      <c r="I416" s="35"/>
      <c r="J416" s="36" t="str">
        <f aca="false">IF(OR(C416="",I416=""),"",IF(E416=Pengaturan!$J$19,I416,0))</f>
        <v/>
      </c>
      <c r="K416" s="36" t="str">
        <f aca="false">IF(OR(C416="",I416=""),"",IF(E416=Pengaturan!$J$20,I416,0))</f>
        <v/>
      </c>
      <c r="L416" s="31" t="str">
        <f aca="false">IF(C416="","",MONTH(C416))</f>
        <v/>
      </c>
      <c r="M416" s="34"/>
      <c r="N416" s="34"/>
      <c r="O416" s="34"/>
    </row>
    <row r="417" customFormat="false" ht="15" hidden="false" customHeight="false" outlineLevel="0" collapsed="false">
      <c r="B417" s="31" t="str">
        <f aca="false">IF(C417="","",ROW()-5)</f>
        <v/>
      </c>
      <c r="C417" s="32"/>
      <c r="D417" s="33"/>
      <c r="E417" s="33"/>
      <c r="F417" s="34"/>
      <c r="G417" s="33"/>
      <c r="H417" s="34"/>
      <c r="I417" s="35"/>
      <c r="J417" s="36" t="str">
        <f aca="false">IF(OR(C417="",I417=""),"",IF(E417=Pengaturan!$J$19,I417,0))</f>
        <v/>
      </c>
      <c r="K417" s="36" t="str">
        <f aca="false">IF(OR(C417="",I417=""),"",IF(E417=Pengaturan!$J$20,I417,0))</f>
        <v/>
      </c>
      <c r="L417" s="31" t="str">
        <f aca="false">IF(C417="","",MONTH(C417))</f>
        <v/>
      </c>
      <c r="M417" s="34"/>
      <c r="N417" s="34"/>
      <c r="O417" s="34"/>
    </row>
    <row r="418" customFormat="false" ht="15" hidden="false" customHeight="false" outlineLevel="0" collapsed="false">
      <c r="B418" s="31" t="str">
        <f aca="false">IF(C418="","",ROW()-5)</f>
        <v/>
      </c>
      <c r="C418" s="32"/>
      <c r="D418" s="33"/>
      <c r="E418" s="33"/>
      <c r="F418" s="34"/>
      <c r="G418" s="33"/>
      <c r="H418" s="34"/>
      <c r="I418" s="35"/>
      <c r="J418" s="36" t="str">
        <f aca="false">IF(OR(C418="",I418=""),"",IF(E418=Pengaturan!$J$19,I418,0))</f>
        <v/>
      </c>
      <c r="K418" s="36" t="str">
        <f aca="false">IF(OR(C418="",I418=""),"",IF(E418=Pengaturan!$J$20,I418,0))</f>
        <v/>
      </c>
      <c r="L418" s="31" t="str">
        <f aca="false">IF(C418="","",MONTH(C418))</f>
        <v/>
      </c>
      <c r="M418" s="34"/>
      <c r="N418" s="34"/>
      <c r="O418" s="34"/>
    </row>
    <row r="419" customFormat="false" ht="15" hidden="false" customHeight="false" outlineLevel="0" collapsed="false">
      <c r="B419" s="31" t="str">
        <f aca="false">IF(C419="","",ROW()-5)</f>
        <v/>
      </c>
      <c r="C419" s="32"/>
      <c r="D419" s="33"/>
      <c r="E419" s="33"/>
      <c r="F419" s="34"/>
      <c r="G419" s="33"/>
      <c r="H419" s="34"/>
      <c r="I419" s="35"/>
      <c r="J419" s="36" t="str">
        <f aca="false">IF(OR(C419="",I419=""),"",IF(E419=Pengaturan!$J$19,I419,0))</f>
        <v/>
      </c>
      <c r="K419" s="36" t="str">
        <f aca="false">IF(OR(C419="",I419=""),"",IF(E419=Pengaturan!$J$20,I419,0))</f>
        <v/>
      </c>
      <c r="L419" s="31" t="str">
        <f aca="false">IF(C419="","",MONTH(C419))</f>
        <v/>
      </c>
      <c r="M419" s="34"/>
      <c r="N419" s="34"/>
      <c r="O419" s="34"/>
    </row>
    <row r="420" customFormat="false" ht="15" hidden="false" customHeight="false" outlineLevel="0" collapsed="false">
      <c r="B420" s="31" t="str">
        <f aca="false">IF(C420="","",ROW()-5)</f>
        <v/>
      </c>
      <c r="C420" s="32"/>
      <c r="D420" s="33"/>
      <c r="E420" s="33"/>
      <c r="F420" s="34"/>
      <c r="G420" s="33"/>
      <c r="H420" s="34"/>
      <c r="I420" s="35"/>
      <c r="J420" s="36" t="str">
        <f aca="false">IF(OR(C420="",I420=""),"",IF(E420=Pengaturan!$J$19,I420,0))</f>
        <v/>
      </c>
      <c r="K420" s="36" t="str">
        <f aca="false">IF(OR(C420="",I420=""),"",IF(E420=Pengaturan!$J$20,I420,0))</f>
        <v/>
      </c>
      <c r="L420" s="31" t="str">
        <f aca="false">IF(C420="","",MONTH(C420))</f>
        <v/>
      </c>
      <c r="M420" s="34"/>
      <c r="N420" s="34"/>
      <c r="O420" s="34"/>
    </row>
    <row r="421" customFormat="false" ht="15" hidden="false" customHeight="false" outlineLevel="0" collapsed="false">
      <c r="B421" s="31" t="str">
        <f aca="false">IF(C421="","",ROW()-5)</f>
        <v/>
      </c>
      <c r="C421" s="32"/>
      <c r="D421" s="33"/>
      <c r="E421" s="33"/>
      <c r="F421" s="34"/>
      <c r="G421" s="33"/>
      <c r="H421" s="34"/>
      <c r="I421" s="35"/>
      <c r="J421" s="36" t="str">
        <f aca="false">IF(OR(C421="",I421=""),"",IF(E421=Pengaturan!$J$19,I421,0))</f>
        <v/>
      </c>
      <c r="K421" s="36" t="str">
        <f aca="false">IF(OR(C421="",I421=""),"",IF(E421=Pengaturan!$J$20,I421,0))</f>
        <v/>
      </c>
      <c r="L421" s="31" t="str">
        <f aca="false">IF(C421="","",MONTH(C421))</f>
        <v/>
      </c>
      <c r="M421" s="34"/>
      <c r="N421" s="34"/>
      <c r="O421" s="34"/>
    </row>
    <row r="422" customFormat="false" ht="15" hidden="false" customHeight="false" outlineLevel="0" collapsed="false">
      <c r="B422" s="31" t="str">
        <f aca="false">IF(C422="","",ROW()-5)</f>
        <v/>
      </c>
      <c r="C422" s="32"/>
      <c r="D422" s="33"/>
      <c r="E422" s="33"/>
      <c r="F422" s="34"/>
      <c r="G422" s="33"/>
      <c r="H422" s="34"/>
      <c r="I422" s="35"/>
      <c r="J422" s="36" t="str">
        <f aca="false">IF(OR(C422="",I422=""),"",IF(E422=Pengaturan!$J$19,I422,0))</f>
        <v/>
      </c>
      <c r="K422" s="36" t="str">
        <f aca="false">IF(OR(C422="",I422=""),"",IF(E422=Pengaturan!$J$20,I422,0))</f>
        <v/>
      </c>
      <c r="L422" s="31" t="str">
        <f aca="false">IF(C422="","",MONTH(C422))</f>
        <v/>
      </c>
      <c r="M422" s="34"/>
      <c r="N422" s="34"/>
      <c r="O422" s="34"/>
    </row>
    <row r="423" customFormat="false" ht="15" hidden="false" customHeight="false" outlineLevel="0" collapsed="false">
      <c r="B423" s="31" t="str">
        <f aca="false">IF(C423="","",ROW()-5)</f>
        <v/>
      </c>
      <c r="C423" s="32"/>
      <c r="D423" s="33"/>
      <c r="E423" s="33"/>
      <c r="F423" s="34"/>
      <c r="G423" s="33"/>
      <c r="H423" s="34"/>
      <c r="I423" s="35"/>
      <c r="J423" s="36" t="str">
        <f aca="false">IF(OR(C423="",I423=""),"",IF(E423=Pengaturan!$J$19,I423,0))</f>
        <v/>
      </c>
      <c r="K423" s="36" t="str">
        <f aca="false">IF(OR(C423="",I423=""),"",IF(E423=Pengaturan!$J$20,I423,0))</f>
        <v/>
      </c>
      <c r="L423" s="31" t="str">
        <f aca="false">IF(C423="","",MONTH(C423))</f>
        <v/>
      </c>
      <c r="M423" s="34"/>
      <c r="N423" s="34"/>
      <c r="O423" s="34"/>
    </row>
    <row r="424" customFormat="false" ht="15" hidden="false" customHeight="false" outlineLevel="0" collapsed="false">
      <c r="B424" s="31" t="str">
        <f aca="false">IF(C424="","",ROW()-5)</f>
        <v/>
      </c>
      <c r="C424" s="32"/>
      <c r="D424" s="33"/>
      <c r="E424" s="33"/>
      <c r="F424" s="34"/>
      <c r="G424" s="33"/>
      <c r="H424" s="34"/>
      <c r="I424" s="35"/>
      <c r="J424" s="36" t="str">
        <f aca="false">IF(OR(C424="",I424=""),"",IF(E424=Pengaturan!$J$19,I424,0))</f>
        <v/>
      </c>
      <c r="K424" s="36" t="str">
        <f aca="false">IF(OR(C424="",I424=""),"",IF(E424=Pengaturan!$J$20,I424,0))</f>
        <v/>
      </c>
      <c r="L424" s="31" t="str">
        <f aca="false">IF(C424="","",MONTH(C424))</f>
        <v/>
      </c>
      <c r="M424" s="34"/>
      <c r="N424" s="34"/>
      <c r="O424" s="34"/>
    </row>
    <row r="425" customFormat="false" ht="15" hidden="false" customHeight="false" outlineLevel="0" collapsed="false">
      <c r="B425" s="31" t="str">
        <f aca="false">IF(C425="","",ROW()-5)</f>
        <v/>
      </c>
      <c r="C425" s="32"/>
      <c r="D425" s="33"/>
      <c r="E425" s="33"/>
      <c r="F425" s="34"/>
      <c r="G425" s="33"/>
      <c r="H425" s="34"/>
      <c r="I425" s="35"/>
      <c r="J425" s="36" t="str">
        <f aca="false">IF(OR(C425="",I425=""),"",IF(E425=Pengaturan!$J$19,I425,0))</f>
        <v/>
      </c>
      <c r="K425" s="36" t="str">
        <f aca="false">IF(OR(C425="",I425=""),"",IF(E425=Pengaturan!$J$20,I425,0))</f>
        <v/>
      </c>
      <c r="L425" s="31" t="str">
        <f aca="false">IF(C425="","",MONTH(C425))</f>
        <v/>
      </c>
      <c r="M425" s="34"/>
      <c r="N425" s="34"/>
      <c r="O425" s="34"/>
    </row>
    <row r="426" customFormat="false" ht="15" hidden="false" customHeight="false" outlineLevel="0" collapsed="false">
      <c r="B426" s="31" t="str">
        <f aca="false">IF(C426="","",ROW()-5)</f>
        <v/>
      </c>
      <c r="C426" s="32"/>
      <c r="D426" s="33"/>
      <c r="E426" s="33"/>
      <c r="F426" s="34"/>
      <c r="G426" s="33"/>
      <c r="H426" s="34"/>
      <c r="I426" s="35"/>
      <c r="J426" s="36" t="str">
        <f aca="false">IF(OR(C426="",I426=""),"",IF(E426=Pengaturan!$J$19,I426,0))</f>
        <v/>
      </c>
      <c r="K426" s="36" t="str">
        <f aca="false">IF(OR(C426="",I426=""),"",IF(E426=Pengaturan!$J$20,I426,0))</f>
        <v/>
      </c>
      <c r="L426" s="31" t="str">
        <f aca="false">IF(C426="","",MONTH(C426))</f>
        <v/>
      </c>
      <c r="M426" s="34"/>
      <c r="N426" s="34"/>
      <c r="O426" s="34"/>
    </row>
    <row r="427" customFormat="false" ht="15" hidden="false" customHeight="false" outlineLevel="0" collapsed="false">
      <c r="B427" s="31" t="str">
        <f aca="false">IF(C427="","",ROW()-5)</f>
        <v/>
      </c>
      <c r="C427" s="32"/>
      <c r="D427" s="33"/>
      <c r="E427" s="33"/>
      <c r="F427" s="34"/>
      <c r="G427" s="33"/>
      <c r="H427" s="34"/>
      <c r="I427" s="35"/>
      <c r="J427" s="36" t="str">
        <f aca="false">IF(OR(C427="",I427=""),"",IF(E427=Pengaturan!$J$19,I427,0))</f>
        <v/>
      </c>
      <c r="K427" s="36" t="str">
        <f aca="false">IF(OR(C427="",I427=""),"",IF(E427=Pengaturan!$J$20,I427,0))</f>
        <v/>
      </c>
      <c r="L427" s="31" t="str">
        <f aca="false">IF(C427="","",MONTH(C427))</f>
        <v/>
      </c>
      <c r="M427" s="34"/>
      <c r="N427" s="34"/>
      <c r="O427" s="34"/>
    </row>
    <row r="428" customFormat="false" ht="15" hidden="false" customHeight="false" outlineLevel="0" collapsed="false">
      <c r="B428" s="31" t="str">
        <f aca="false">IF(C428="","",ROW()-5)</f>
        <v/>
      </c>
      <c r="C428" s="32"/>
      <c r="D428" s="33"/>
      <c r="E428" s="33"/>
      <c r="F428" s="34"/>
      <c r="G428" s="33"/>
      <c r="H428" s="34"/>
      <c r="I428" s="35"/>
      <c r="J428" s="36" t="str">
        <f aca="false">IF(OR(C428="",I428=""),"",IF(E428=Pengaturan!$J$19,I428,0))</f>
        <v/>
      </c>
      <c r="K428" s="36" t="str">
        <f aca="false">IF(OR(C428="",I428=""),"",IF(E428=Pengaturan!$J$20,I428,0))</f>
        <v/>
      </c>
      <c r="L428" s="31" t="str">
        <f aca="false">IF(C428="","",MONTH(C428))</f>
        <v/>
      </c>
      <c r="M428" s="34"/>
      <c r="N428" s="34"/>
      <c r="O428" s="34"/>
    </row>
    <row r="429" customFormat="false" ht="15" hidden="false" customHeight="false" outlineLevel="0" collapsed="false">
      <c r="B429" s="31" t="str">
        <f aca="false">IF(C429="","",ROW()-5)</f>
        <v/>
      </c>
      <c r="C429" s="32"/>
      <c r="D429" s="33"/>
      <c r="E429" s="33"/>
      <c r="F429" s="34"/>
      <c r="G429" s="33"/>
      <c r="H429" s="34"/>
      <c r="I429" s="35"/>
      <c r="J429" s="36" t="str">
        <f aca="false">IF(OR(C429="",I429=""),"",IF(E429=Pengaturan!$J$19,I429,0))</f>
        <v/>
      </c>
      <c r="K429" s="36" t="str">
        <f aca="false">IF(OR(C429="",I429=""),"",IF(E429=Pengaturan!$J$20,I429,0))</f>
        <v/>
      </c>
      <c r="L429" s="31" t="str">
        <f aca="false">IF(C429="","",MONTH(C429))</f>
        <v/>
      </c>
      <c r="M429" s="34"/>
      <c r="N429" s="34"/>
      <c r="O429" s="34"/>
    </row>
    <row r="430" customFormat="false" ht="15" hidden="false" customHeight="false" outlineLevel="0" collapsed="false">
      <c r="B430" s="31" t="str">
        <f aca="false">IF(C430="","",ROW()-5)</f>
        <v/>
      </c>
      <c r="C430" s="32"/>
      <c r="D430" s="33"/>
      <c r="E430" s="33"/>
      <c r="F430" s="34"/>
      <c r="G430" s="33"/>
      <c r="H430" s="34"/>
      <c r="I430" s="35"/>
      <c r="J430" s="36" t="str">
        <f aca="false">IF(OR(C430="",I430=""),"",IF(E430=Pengaturan!$J$19,I430,0))</f>
        <v/>
      </c>
      <c r="K430" s="36" t="str">
        <f aca="false">IF(OR(C430="",I430=""),"",IF(E430=Pengaturan!$J$20,I430,0))</f>
        <v/>
      </c>
      <c r="L430" s="31" t="str">
        <f aca="false">IF(C430="","",MONTH(C430))</f>
        <v/>
      </c>
      <c r="M430" s="34"/>
      <c r="N430" s="34"/>
      <c r="O430" s="34"/>
    </row>
    <row r="431" customFormat="false" ht="15" hidden="false" customHeight="false" outlineLevel="0" collapsed="false">
      <c r="B431" s="31" t="str">
        <f aca="false">IF(C431="","",ROW()-5)</f>
        <v/>
      </c>
      <c r="C431" s="32"/>
      <c r="D431" s="33"/>
      <c r="E431" s="33"/>
      <c r="F431" s="34"/>
      <c r="G431" s="33"/>
      <c r="H431" s="34"/>
      <c r="I431" s="35"/>
      <c r="J431" s="36" t="str">
        <f aca="false">IF(OR(C431="",I431=""),"",IF(E431=Pengaturan!$J$19,I431,0))</f>
        <v/>
      </c>
      <c r="K431" s="36" t="str">
        <f aca="false">IF(OR(C431="",I431=""),"",IF(E431=Pengaturan!$J$20,I431,0))</f>
        <v/>
      </c>
      <c r="L431" s="31" t="str">
        <f aca="false">IF(C431="","",MONTH(C431))</f>
        <v/>
      </c>
      <c r="M431" s="34"/>
      <c r="N431" s="34"/>
      <c r="O431" s="34"/>
    </row>
    <row r="432" customFormat="false" ht="15" hidden="false" customHeight="false" outlineLevel="0" collapsed="false">
      <c r="B432" s="31" t="str">
        <f aca="false">IF(C432="","",ROW()-5)</f>
        <v/>
      </c>
      <c r="C432" s="32"/>
      <c r="D432" s="33"/>
      <c r="E432" s="33"/>
      <c r="F432" s="34"/>
      <c r="G432" s="33"/>
      <c r="H432" s="34"/>
      <c r="I432" s="35"/>
      <c r="J432" s="36" t="str">
        <f aca="false">IF(OR(C432="",I432=""),"",IF(E432=Pengaturan!$J$19,I432,0))</f>
        <v/>
      </c>
      <c r="K432" s="36" t="str">
        <f aca="false">IF(OR(C432="",I432=""),"",IF(E432=Pengaturan!$J$20,I432,0))</f>
        <v/>
      </c>
      <c r="L432" s="31" t="str">
        <f aca="false">IF(C432="","",MONTH(C432))</f>
        <v/>
      </c>
      <c r="M432" s="34"/>
      <c r="N432" s="34"/>
      <c r="O432" s="34"/>
    </row>
    <row r="433" customFormat="false" ht="15" hidden="false" customHeight="false" outlineLevel="0" collapsed="false">
      <c r="B433" s="31" t="str">
        <f aca="false">IF(C433="","",ROW()-5)</f>
        <v/>
      </c>
      <c r="C433" s="32"/>
      <c r="D433" s="33"/>
      <c r="E433" s="33"/>
      <c r="F433" s="34"/>
      <c r="G433" s="33"/>
      <c r="H433" s="34"/>
      <c r="I433" s="35"/>
      <c r="J433" s="36" t="str">
        <f aca="false">IF(OR(C433="",I433=""),"",IF(E433=Pengaturan!$J$19,I433,0))</f>
        <v/>
      </c>
      <c r="K433" s="36" t="str">
        <f aca="false">IF(OR(C433="",I433=""),"",IF(E433=Pengaturan!$J$20,I433,0))</f>
        <v/>
      </c>
      <c r="L433" s="31" t="str">
        <f aca="false">IF(C433="","",MONTH(C433))</f>
        <v/>
      </c>
      <c r="M433" s="34"/>
      <c r="N433" s="34"/>
      <c r="O433" s="34"/>
    </row>
    <row r="434" customFormat="false" ht="15" hidden="false" customHeight="false" outlineLevel="0" collapsed="false">
      <c r="B434" s="31" t="str">
        <f aca="false">IF(C434="","",ROW()-5)</f>
        <v/>
      </c>
      <c r="C434" s="32"/>
      <c r="D434" s="33"/>
      <c r="E434" s="33"/>
      <c r="F434" s="34"/>
      <c r="G434" s="33"/>
      <c r="H434" s="34"/>
      <c r="I434" s="35"/>
      <c r="J434" s="36" t="str">
        <f aca="false">IF(OR(C434="",I434=""),"",IF(E434=Pengaturan!$J$19,I434,0))</f>
        <v/>
      </c>
      <c r="K434" s="36" t="str">
        <f aca="false">IF(OR(C434="",I434=""),"",IF(E434=Pengaturan!$J$20,I434,0))</f>
        <v/>
      </c>
      <c r="L434" s="31" t="str">
        <f aca="false">IF(C434="","",MONTH(C434))</f>
        <v/>
      </c>
      <c r="M434" s="34"/>
      <c r="N434" s="34"/>
      <c r="O434" s="34"/>
    </row>
    <row r="435" customFormat="false" ht="15" hidden="false" customHeight="false" outlineLevel="0" collapsed="false">
      <c r="B435" s="31" t="str">
        <f aca="false">IF(C435="","",ROW()-5)</f>
        <v/>
      </c>
      <c r="C435" s="32"/>
      <c r="D435" s="33"/>
      <c r="E435" s="33"/>
      <c r="F435" s="34"/>
      <c r="G435" s="33"/>
      <c r="H435" s="34"/>
      <c r="I435" s="35"/>
      <c r="J435" s="36" t="str">
        <f aca="false">IF(OR(C435="",I435=""),"",IF(E435=Pengaturan!$J$19,I435,0))</f>
        <v/>
      </c>
      <c r="K435" s="36" t="str">
        <f aca="false">IF(OR(C435="",I435=""),"",IF(E435=Pengaturan!$J$20,I435,0))</f>
        <v/>
      </c>
      <c r="L435" s="31" t="str">
        <f aca="false">IF(C435="","",MONTH(C435))</f>
        <v/>
      </c>
      <c r="M435" s="34"/>
      <c r="N435" s="34"/>
      <c r="O435" s="34"/>
    </row>
    <row r="436" customFormat="false" ht="15" hidden="false" customHeight="false" outlineLevel="0" collapsed="false">
      <c r="B436" s="31" t="str">
        <f aca="false">IF(C436="","",ROW()-5)</f>
        <v/>
      </c>
      <c r="C436" s="32"/>
      <c r="D436" s="33"/>
      <c r="E436" s="33"/>
      <c r="F436" s="34"/>
      <c r="G436" s="33"/>
      <c r="H436" s="34"/>
      <c r="I436" s="35"/>
      <c r="J436" s="36" t="str">
        <f aca="false">IF(OR(C436="",I436=""),"",IF(E436=Pengaturan!$J$19,I436,0))</f>
        <v/>
      </c>
      <c r="K436" s="36" t="str">
        <f aca="false">IF(OR(C436="",I436=""),"",IF(E436=Pengaturan!$J$20,I436,0))</f>
        <v/>
      </c>
      <c r="L436" s="31" t="str">
        <f aca="false">IF(C436="","",MONTH(C436))</f>
        <v/>
      </c>
      <c r="M436" s="34"/>
      <c r="N436" s="34"/>
      <c r="O436" s="34"/>
    </row>
    <row r="437" customFormat="false" ht="15" hidden="false" customHeight="false" outlineLevel="0" collapsed="false">
      <c r="B437" s="31" t="str">
        <f aca="false">IF(C437="","",ROW()-5)</f>
        <v/>
      </c>
      <c r="C437" s="32"/>
      <c r="D437" s="33"/>
      <c r="E437" s="33"/>
      <c r="F437" s="34"/>
      <c r="G437" s="33"/>
      <c r="H437" s="34"/>
      <c r="I437" s="35"/>
      <c r="J437" s="36" t="str">
        <f aca="false">IF(OR(C437="",I437=""),"",IF(E437=Pengaturan!$J$19,I437,0))</f>
        <v/>
      </c>
      <c r="K437" s="36" t="str">
        <f aca="false">IF(OR(C437="",I437=""),"",IF(E437=Pengaturan!$J$20,I437,0))</f>
        <v/>
      </c>
      <c r="L437" s="31" t="str">
        <f aca="false">IF(C437="","",MONTH(C437))</f>
        <v/>
      </c>
      <c r="M437" s="34"/>
      <c r="N437" s="34"/>
      <c r="O437" s="34"/>
    </row>
    <row r="438" customFormat="false" ht="15" hidden="false" customHeight="false" outlineLevel="0" collapsed="false">
      <c r="B438" s="31" t="str">
        <f aca="false">IF(C438="","",ROW()-5)</f>
        <v/>
      </c>
      <c r="C438" s="32"/>
      <c r="D438" s="33"/>
      <c r="E438" s="33"/>
      <c r="F438" s="34"/>
      <c r="G438" s="33"/>
      <c r="H438" s="34"/>
      <c r="I438" s="35"/>
      <c r="J438" s="36" t="str">
        <f aca="false">IF(OR(C438="",I438=""),"",IF(E438=Pengaturan!$J$19,I438,0))</f>
        <v/>
      </c>
      <c r="K438" s="36" t="str">
        <f aca="false">IF(OR(C438="",I438=""),"",IF(E438=Pengaturan!$J$20,I438,0))</f>
        <v/>
      </c>
      <c r="L438" s="31" t="str">
        <f aca="false">IF(C438="","",MONTH(C438))</f>
        <v/>
      </c>
      <c r="M438" s="34"/>
      <c r="N438" s="34"/>
      <c r="O438" s="34"/>
    </row>
    <row r="439" customFormat="false" ht="15" hidden="false" customHeight="false" outlineLevel="0" collapsed="false">
      <c r="B439" s="31" t="str">
        <f aca="false">IF(C439="","",ROW()-5)</f>
        <v/>
      </c>
      <c r="C439" s="32"/>
      <c r="D439" s="33"/>
      <c r="E439" s="33"/>
      <c r="F439" s="34"/>
      <c r="G439" s="33"/>
      <c r="H439" s="34"/>
      <c r="I439" s="35"/>
      <c r="J439" s="36" t="str">
        <f aca="false">IF(OR(C439="",I439=""),"",IF(E439=Pengaturan!$J$19,I439,0))</f>
        <v/>
      </c>
      <c r="K439" s="36" t="str">
        <f aca="false">IF(OR(C439="",I439=""),"",IF(E439=Pengaturan!$J$20,I439,0))</f>
        <v/>
      </c>
      <c r="L439" s="31" t="str">
        <f aca="false">IF(C439="","",MONTH(C439))</f>
        <v/>
      </c>
      <c r="M439" s="34"/>
      <c r="N439" s="34"/>
      <c r="O439" s="34"/>
    </row>
    <row r="440" customFormat="false" ht="15" hidden="false" customHeight="false" outlineLevel="0" collapsed="false">
      <c r="B440" s="31" t="str">
        <f aca="false">IF(C440="","",ROW()-5)</f>
        <v/>
      </c>
      <c r="C440" s="32"/>
      <c r="D440" s="33"/>
      <c r="E440" s="33"/>
      <c r="F440" s="34"/>
      <c r="G440" s="33"/>
      <c r="H440" s="34"/>
      <c r="I440" s="35"/>
      <c r="J440" s="36" t="str">
        <f aca="false">IF(OR(C440="",I440=""),"",IF(E440=Pengaturan!$J$19,I440,0))</f>
        <v/>
      </c>
      <c r="K440" s="36" t="str">
        <f aca="false">IF(OR(C440="",I440=""),"",IF(E440=Pengaturan!$J$20,I440,0))</f>
        <v/>
      </c>
      <c r="L440" s="31" t="str">
        <f aca="false">IF(C440="","",MONTH(C440))</f>
        <v/>
      </c>
      <c r="M440" s="34"/>
      <c r="N440" s="34"/>
      <c r="O440" s="34"/>
    </row>
    <row r="441" customFormat="false" ht="15" hidden="false" customHeight="false" outlineLevel="0" collapsed="false">
      <c r="B441" s="31" t="str">
        <f aca="false">IF(C441="","",ROW()-5)</f>
        <v/>
      </c>
      <c r="C441" s="32"/>
      <c r="D441" s="33"/>
      <c r="E441" s="33"/>
      <c r="F441" s="34"/>
      <c r="G441" s="33"/>
      <c r="H441" s="34"/>
      <c r="I441" s="35"/>
      <c r="J441" s="36" t="str">
        <f aca="false">IF(OR(C441="",I441=""),"",IF(E441=Pengaturan!$J$19,I441,0))</f>
        <v/>
      </c>
      <c r="K441" s="36" t="str">
        <f aca="false">IF(OR(C441="",I441=""),"",IF(E441=Pengaturan!$J$20,I441,0))</f>
        <v/>
      </c>
      <c r="L441" s="31" t="str">
        <f aca="false">IF(C441="","",MONTH(C441))</f>
        <v/>
      </c>
      <c r="M441" s="34"/>
      <c r="N441" s="34"/>
      <c r="O441" s="34"/>
    </row>
    <row r="442" customFormat="false" ht="15" hidden="false" customHeight="false" outlineLevel="0" collapsed="false">
      <c r="B442" s="31" t="str">
        <f aca="false">IF(C442="","",ROW()-5)</f>
        <v/>
      </c>
      <c r="C442" s="32"/>
      <c r="D442" s="33"/>
      <c r="E442" s="33"/>
      <c r="F442" s="34"/>
      <c r="G442" s="33"/>
      <c r="H442" s="34"/>
      <c r="I442" s="35"/>
      <c r="J442" s="36" t="str">
        <f aca="false">IF(OR(C442="",I442=""),"",IF(E442=Pengaturan!$J$19,I442,0))</f>
        <v/>
      </c>
      <c r="K442" s="36" t="str">
        <f aca="false">IF(OR(C442="",I442=""),"",IF(E442=Pengaturan!$J$20,I442,0))</f>
        <v/>
      </c>
      <c r="L442" s="31" t="str">
        <f aca="false">IF(C442="","",MONTH(C442))</f>
        <v/>
      </c>
      <c r="M442" s="34"/>
      <c r="N442" s="34"/>
      <c r="O442" s="34"/>
    </row>
    <row r="443" customFormat="false" ht="15" hidden="false" customHeight="false" outlineLevel="0" collapsed="false">
      <c r="B443" s="31" t="str">
        <f aca="false">IF(C443="","",ROW()-5)</f>
        <v/>
      </c>
      <c r="C443" s="32"/>
      <c r="D443" s="33"/>
      <c r="E443" s="33"/>
      <c r="F443" s="34"/>
      <c r="G443" s="33"/>
      <c r="H443" s="34"/>
      <c r="I443" s="35"/>
      <c r="J443" s="36" t="str">
        <f aca="false">IF(OR(C443="",I443=""),"",IF(E443=Pengaturan!$J$19,I443,0))</f>
        <v/>
      </c>
      <c r="K443" s="36" t="str">
        <f aca="false">IF(OR(C443="",I443=""),"",IF(E443=Pengaturan!$J$20,I443,0))</f>
        <v/>
      </c>
      <c r="L443" s="31" t="str">
        <f aca="false">IF(C443="","",MONTH(C443))</f>
        <v/>
      </c>
      <c r="M443" s="34"/>
      <c r="N443" s="34"/>
      <c r="O443" s="34"/>
    </row>
    <row r="444" customFormat="false" ht="15" hidden="false" customHeight="false" outlineLevel="0" collapsed="false">
      <c r="B444" s="31" t="str">
        <f aca="false">IF(C444="","",ROW()-5)</f>
        <v/>
      </c>
      <c r="C444" s="32"/>
      <c r="D444" s="33"/>
      <c r="E444" s="33"/>
      <c r="F444" s="34"/>
      <c r="G444" s="33"/>
      <c r="H444" s="34"/>
      <c r="I444" s="35"/>
      <c r="J444" s="36" t="str">
        <f aca="false">IF(OR(C444="",I444=""),"",IF(E444=Pengaturan!$J$19,I444,0))</f>
        <v/>
      </c>
      <c r="K444" s="36" t="str">
        <f aca="false">IF(OR(C444="",I444=""),"",IF(E444=Pengaturan!$J$20,I444,0))</f>
        <v/>
      </c>
      <c r="L444" s="31" t="str">
        <f aca="false">IF(C444="","",MONTH(C444))</f>
        <v/>
      </c>
      <c r="M444" s="34"/>
      <c r="N444" s="34"/>
      <c r="O444" s="34"/>
    </row>
    <row r="445" customFormat="false" ht="15" hidden="false" customHeight="false" outlineLevel="0" collapsed="false">
      <c r="B445" s="31" t="str">
        <f aca="false">IF(C445="","",ROW()-5)</f>
        <v/>
      </c>
      <c r="C445" s="32"/>
      <c r="D445" s="33"/>
      <c r="E445" s="33"/>
      <c r="F445" s="34"/>
      <c r="G445" s="33"/>
      <c r="H445" s="34"/>
      <c r="I445" s="35"/>
      <c r="J445" s="36" t="str">
        <f aca="false">IF(OR(C445="",I445=""),"",IF(E445=Pengaturan!$J$19,I445,0))</f>
        <v/>
      </c>
      <c r="K445" s="36" t="str">
        <f aca="false">IF(OR(C445="",I445=""),"",IF(E445=Pengaturan!$J$20,I445,0))</f>
        <v/>
      </c>
      <c r="L445" s="31" t="str">
        <f aca="false">IF(C445="","",MONTH(C445))</f>
        <v/>
      </c>
      <c r="M445" s="34"/>
      <c r="N445" s="34"/>
      <c r="O445" s="34"/>
    </row>
    <row r="446" customFormat="false" ht="15" hidden="false" customHeight="false" outlineLevel="0" collapsed="false">
      <c r="B446" s="31" t="str">
        <f aca="false">IF(C446="","",ROW()-5)</f>
        <v/>
      </c>
      <c r="C446" s="32"/>
      <c r="D446" s="33"/>
      <c r="E446" s="33"/>
      <c r="F446" s="34"/>
      <c r="G446" s="33"/>
      <c r="H446" s="34"/>
      <c r="I446" s="35"/>
      <c r="J446" s="36" t="str">
        <f aca="false">IF(OR(C446="",I446=""),"",IF(E446=Pengaturan!$J$19,I446,0))</f>
        <v/>
      </c>
      <c r="K446" s="36" t="str">
        <f aca="false">IF(OR(C446="",I446=""),"",IF(E446=Pengaturan!$J$20,I446,0))</f>
        <v/>
      </c>
      <c r="L446" s="31" t="str">
        <f aca="false">IF(C446="","",MONTH(C446))</f>
        <v/>
      </c>
      <c r="M446" s="34"/>
      <c r="N446" s="34"/>
      <c r="O446" s="34"/>
    </row>
    <row r="447" customFormat="false" ht="15" hidden="false" customHeight="false" outlineLevel="0" collapsed="false">
      <c r="B447" s="31" t="str">
        <f aca="false">IF(C447="","",ROW()-5)</f>
        <v/>
      </c>
      <c r="C447" s="32"/>
      <c r="D447" s="33"/>
      <c r="E447" s="33"/>
      <c r="F447" s="34"/>
      <c r="G447" s="33"/>
      <c r="H447" s="34"/>
      <c r="I447" s="35"/>
      <c r="J447" s="36" t="str">
        <f aca="false">IF(OR(C447="",I447=""),"",IF(E447=Pengaturan!$J$19,I447,0))</f>
        <v/>
      </c>
      <c r="K447" s="36" t="str">
        <f aca="false">IF(OR(C447="",I447=""),"",IF(E447=Pengaturan!$J$20,I447,0))</f>
        <v/>
      </c>
      <c r="L447" s="31" t="str">
        <f aca="false">IF(C447="","",MONTH(C447))</f>
        <v/>
      </c>
      <c r="M447" s="34"/>
      <c r="N447" s="34"/>
      <c r="O447" s="34"/>
    </row>
    <row r="448" customFormat="false" ht="15" hidden="false" customHeight="false" outlineLevel="0" collapsed="false">
      <c r="B448" s="31" t="str">
        <f aca="false">IF(C448="","",ROW()-5)</f>
        <v/>
      </c>
      <c r="C448" s="32"/>
      <c r="D448" s="33"/>
      <c r="E448" s="33"/>
      <c r="F448" s="34"/>
      <c r="G448" s="33"/>
      <c r="H448" s="34"/>
      <c r="I448" s="35"/>
      <c r="J448" s="36" t="str">
        <f aca="false">IF(OR(C448="",I448=""),"",IF(E448=Pengaturan!$J$19,I448,0))</f>
        <v/>
      </c>
      <c r="K448" s="36" t="str">
        <f aca="false">IF(OR(C448="",I448=""),"",IF(E448=Pengaturan!$J$20,I448,0))</f>
        <v/>
      </c>
      <c r="L448" s="31" t="str">
        <f aca="false">IF(C448="","",MONTH(C448))</f>
        <v/>
      </c>
      <c r="M448" s="34"/>
      <c r="N448" s="34"/>
      <c r="O448" s="34"/>
    </row>
    <row r="449" customFormat="false" ht="15" hidden="false" customHeight="false" outlineLevel="0" collapsed="false">
      <c r="B449" s="31" t="str">
        <f aca="false">IF(C449="","",ROW()-5)</f>
        <v/>
      </c>
      <c r="C449" s="32"/>
      <c r="D449" s="33"/>
      <c r="E449" s="33"/>
      <c r="F449" s="34"/>
      <c r="G449" s="33"/>
      <c r="H449" s="34"/>
      <c r="I449" s="35"/>
      <c r="J449" s="36" t="str">
        <f aca="false">IF(OR(C449="",I449=""),"",IF(E449=Pengaturan!$J$19,I449,0))</f>
        <v/>
      </c>
      <c r="K449" s="36" t="str">
        <f aca="false">IF(OR(C449="",I449=""),"",IF(E449=Pengaturan!$J$20,I449,0))</f>
        <v/>
      </c>
      <c r="L449" s="31" t="str">
        <f aca="false">IF(C449="","",MONTH(C449))</f>
        <v/>
      </c>
      <c r="M449" s="34"/>
      <c r="N449" s="34"/>
      <c r="O449" s="34"/>
    </row>
    <row r="450" customFormat="false" ht="15" hidden="false" customHeight="false" outlineLevel="0" collapsed="false">
      <c r="B450" s="31" t="str">
        <f aca="false">IF(C450="","",ROW()-5)</f>
        <v/>
      </c>
      <c r="C450" s="32"/>
      <c r="D450" s="33"/>
      <c r="E450" s="33"/>
      <c r="F450" s="34"/>
      <c r="G450" s="33"/>
      <c r="H450" s="34"/>
      <c r="I450" s="35"/>
      <c r="J450" s="36" t="str">
        <f aca="false">IF(OR(C450="",I450=""),"",IF(E450=Pengaturan!$J$19,I450,0))</f>
        <v/>
      </c>
      <c r="K450" s="36" t="str">
        <f aca="false">IF(OR(C450="",I450=""),"",IF(E450=Pengaturan!$J$20,I450,0))</f>
        <v/>
      </c>
      <c r="L450" s="31" t="str">
        <f aca="false">IF(C450="","",MONTH(C450))</f>
        <v/>
      </c>
      <c r="M450" s="34"/>
      <c r="N450" s="34"/>
      <c r="O450" s="34"/>
    </row>
    <row r="451" customFormat="false" ht="15" hidden="false" customHeight="false" outlineLevel="0" collapsed="false">
      <c r="B451" s="31" t="str">
        <f aca="false">IF(C451="","",ROW()-5)</f>
        <v/>
      </c>
      <c r="C451" s="32"/>
      <c r="D451" s="33"/>
      <c r="E451" s="33"/>
      <c r="F451" s="34"/>
      <c r="G451" s="33"/>
      <c r="H451" s="34"/>
      <c r="I451" s="35"/>
      <c r="J451" s="36" t="str">
        <f aca="false">IF(OR(C451="",I451=""),"",IF(E451=Pengaturan!$J$19,I451,0))</f>
        <v/>
      </c>
      <c r="K451" s="36" t="str">
        <f aca="false">IF(OR(C451="",I451=""),"",IF(E451=Pengaturan!$J$20,I451,0))</f>
        <v/>
      </c>
      <c r="L451" s="31" t="str">
        <f aca="false">IF(C451="","",MONTH(C451))</f>
        <v/>
      </c>
      <c r="M451" s="34"/>
      <c r="N451" s="34"/>
      <c r="O451" s="34"/>
    </row>
    <row r="452" customFormat="false" ht="15" hidden="false" customHeight="false" outlineLevel="0" collapsed="false">
      <c r="B452" s="31" t="str">
        <f aca="false">IF(C452="","",ROW()-5)</f>
        <v/>
      </c>
      <c r="C452" s="32"/>
      <c r="D452" s="33"/>
      <c r="E452" s="33"/>
      <c r="F452" s="34"/>
      <c r="G452" s="33"/>
      <c r="H452" s="34"/>
      <c r="I452" s="35"/>
      <c r="J452" s="36" t="str">
        <f aca="false">IF(OR(C452="",I452=""),"",IF(E452=Pengaturan!$J$19,I452,0))</f>
        <v/>
      </c>
      <c r="K452" s="36" t="str">
        <f aca="false">IF(OR(C452="",I452=""),"",IF(E452=Pengaturan!$J$20,I452,0))</f>
        <v/>
      </c>
      <c r="L452" s="31" t="str">
        <f aca="false">IF(C452="","",MONTH(C452))</f>
        <v/>
      </c>
      <c r="M452" s="34"/>
      <c r="N452" s="34"/>
      <c r="O452" s="34"/>
    </row>
    <row r="453" customFormat="false" ht="15" hidden="false" customHeight="false" outlineLevel="0" collapsed="false">
      <c r="B453" s="31" t="str">
        <f aca="false">IF(C453="","",ROW()-5)</f>
        <v/>
      </c>
      <c r="C453" s="32"/>
      <c r="D453" s="33"/>
      <c r="E453" s="33"/>
      <c r="F453" s="34"/>
      <c r="G453" s="33"/>
      <c r="H453" s="34"/>
      <c r="I453" s="35"/>
      <c r="J453" s="36" t="str">
        <f aca="false">IF(OR(C453="",I453=""),"",IF(E453=Pengaturan!$J$19,I453,0))</f>
        <v/>
      </c>
      <c r="K453" s="36" t="str">
        <f aca="false">IF(OR(C453="",I453=""),"",IF(E453=Pengaturan!$J$20,I453,0))</f>
        <v/>
      </c>
      <c r="L453" s="31" t="str">
        <f aca="false">IF(C453="","",MONTH(C453))</f>
        <v/>
      </c>
      <c r="M453" s="34"/>
      <c r="N453" s="34"/>
      <c r="O453" s="34"/>
    </row>
    <row r="454" customFormat="false" ht="15" hidden="false" customHeight="false" outlineLevel="0" collapsed="false">
      <c r="B454" s="31" t="str">
        <f aca="false">IF(C454="","",ROW()-5)</f>
        <v/>
      </c>
      <c r="C454" s="32"/>
      <c r="D454" s="33"/>
      <c r="E454" s="33"/>
      <c r="F454" s="34"/>
      <c r="G454" s="33"/>
      <c r="H454" s="34"/>
      <c r="I454" s="35"/>
      <c r="J454" s="36" t="str">
        <f aca="false">IF(OR(C454="",I454=""),"",IF(E454=Pengaturan!$J$19,I454,0))</f>
        <v/>
      </c>
      <c r="K454" s="36" t="str">
        <f aca="false">IF(OR(C454="",I454=""),"",IF(E454=Pengaturan!$J$20,I454,0))</f>
        <v/>
      </c>
      <c r="L454" s="31" t="str">
        <f aca="false">IF(C454="","",MONTH(C454))</f>
        <v/>
      </c>
      <c r="M454" s="34"/>
      <c r="N454" s="34"/>
      <c r="O454" s="34"/>
    </row>
    <row r="455" customFormat="false" ht="15" hidden="false" customHeight="false" outlineLevel="0" collapsed="false">
      <c r="B455" s="31" t="str">
        <f aca="false">IF(C455="","",ROW()-5)</f>
        <v/>
      </c>
      <c r="C455" s="32"/>
      <c r="D455" s="33"/>
      <c r="E455" s="33"/>
      <c r="F455" s="34"/>
      <c r="G455" s="33"/>
      <c r="H455" s="34"/>
      <c r="I455" s="35"/>
      <c r="J455" s="36" t="str">
        <f aca="false">IF(OR(C455="",I455=""),"",IF(E455=Pengaturan!$J$19,I455,0))</f>
        <v/>
      </c>
      <c r="K455" s="36" t="str">
        <f aca="false">IF(OR(C455="",I455=""),"",IF(E455=Pengaturan!$J$20,I455,0))</f>
        <v/>
      </c>
      <c r="L455" s="31" t="str">
        <f aca="false">IF(C455="","",MONTH(C455))</f>
        <v/>
      </c>
      <c r="M455" s="34"/>
      <c r="N455" s="34"/>
      <c r="O455" s="34"/>
    </row>
    <row r="456" customFormat="false" ht="15" hidden="false" customHeight="false" outlineLevel="0" collapsed="false">
      <c r="B456" s="31" t="str">
        <f aca="false">IF(C456="","",ROW()-5)</f>
        <v/>
      </c>
      <c r="C456" s="32"/>
      <c r="D456" s="33"/>
      <c r="E456" s="33"/>
      <c r="F456" s="34"/>
      <c r="G456" s="33"/>
      <c r="H456" s="34"/>
      <c r="I456" s="35"/>
      <c r="J456" s="36" t="str">
        <f aca="false">IF(OR(C456="",I456=""),"",IF(E456=Pengaturan!$J$19,I456,0))</f>
        <v/>
      </c>
      <c r="K456" s="36" t="str">
        <f aca="false">IF(OR(C456="",I456=""),"",IF(E456=Pengaturan!$J$20,I456,0))</f>
        <v/>
      </c>
      <c r="L456" s="31" t="str">
        <f aca="false">IF(C456="","",MONTH(C456))</f>
        <v/>
      </c>
      <c r="M456" s="34"/>
      <c r="N456" s="34"/>
      <c r="O456" s="34"/>
    </row>
    <row r="457" customFormat="false" ht="15" hidden="false" customHeight="false" outlineLevel="0" collapsed="false">
      <c r="B457" s="31" t="str">
        <f aca="false">IF(C457="","",ROW()-5)</f>
        <v/>
      </c>
      <c r="C457" s="32"/>
      <c r="D457" s="33"/>
      <c r="E457" s="33"/>
      <c r="F457" s="34"/>
      <c r="G457" s="33"/>
      <c r="H457" s="34"/>
      <c r="I457" s="35"/>
      <c r="J457" s="36" t="str">
        <f aca="false">IF(OR(C457="",I457=""),"",IF(E457=Pengaturan!$J$19,I457,0))</f>
        <v/>
      </c>
      <c r="K457" s="36" t="str">
        <f aca="false">IF(OR(C457="",I457=""),"",IF(E457=Pengaturan!$J$20,I457,0))</f>
        <v/>
      </c>
      <c r="L457" s="31" t="str">
        <f aca="false">IF(C457="","",MONTH(C457))</f>
        <v/>
      </c>
      <c r="M457" s="34"/>
      <c r="N457" s="34"/>
      <c r="O457" s="34"/>
    </row>
    <row r="458" customFormat="false" ht="15" hidden="false" customHeight="false" outlineLevel="0" collapsed="false">
      <c r="B458" s="31" t="str">
        <f aca="false">IF(C458="","",ROW()-5)</f>
        <v/>
      </c>
      <c r="C458" s="32"/>
      <c r="D458" s="33"/>
      <c r="E458" s="33"/>
      <c r="F458" s="34"/>
      <c r="G458" s="33"/>
      <c r="H458" s="34"/>
      <c r="I458" s="35"/>
      <c r="J458" s="36" t="str">
        <f aca="false">IF(OR(C458="",I458=""),"",IF(E458=Pengaturan!$J$19,I458,0))</f>
        <v/>
      </c>
      <c r="K458" s="36" t="str">
        <f aca="false">IF(OR(C458="",I458=""),"",IF(E458=Pengaturan!$J$20,I458,0))</f>
        <v/>
      </c>
      <c r="L458" s="31" t="str">
        <f aca="false">IF(C458="","",MONTH(C458))</f>
        <v/>
      </c>
      <c r="M458" s="34"/>
      <c r="N458" s="34"/>
      <c r="O458" s="34"/>
    </row>
    <row r="459" customFormat="false" ht="15" hidden="false" customHeight="false" outlineLevel="0" collapsed="false">
      <c r="B459" s="31" t="str">
        <f aca="false">IF(C459="","",ROW()-5)</f>
        <v/>
      </c>
      <c r="C459" s="32"/>
      <c r="D459" s="33"/>
      <c r="E459" s="33"/>
      <c r="F459" s="34"/>
      <c r="G459" s="33"/>
      <c r="H459" s="34"/>
      <c r="I459" s="35"/>
      <c r="J459" s="36" t="str">
        <f aca="false">IF(OR(C459="",I459=""),"",IF(E459=Pengaturan!$J$19,I459,0))</f>
        <v/>
      </c>
      <c r="K459" s="36" t="str">
        <f aca="false">IF(OR(C459="",I459=""),"",IF(E459=Pengaturan!$J$20,I459,0))</f>
        <v/>
      </c>
      <c r="L459" s="31" t="str">
        <f aca="false">IF(C459="","",MONTH(C459))</f>
        <v/>
      </c>
      <c r="M459" s="34"/>
      <c r="N459" s="34"/>
      <c r="O459" s="34"/>
    </row>
    <row r="460" customFormat="false" ht="15" hidden="false" customHeight="false" outlineLevel="0" collapsed="false">
      <c r="B460" s="31" t="str">
        <f aca="false">IF(C460="","",ROW()-5)</f>
        <v/>
      </c>
      <c r="C460" s="32"/>
      <c r="D460" s="33"/>
      <c r="E460" s="33"/>
      <c r="F460" s="34"/>
      <c r="G460" s="33"/>
      <c r="H460" s="34"/>
      <c r="I460" s="35"/>
      <c r="J460" s="36" t="str">
        <f aca="false">IF(OR(C460="",I460=""),"",IF(E460=Pengaturan!$J$19,I460,0))</f>
        <v/>
      </c>
      <c r="K460" s="36" t="str">
        <f aca="false">IF(OR(C460="",I460=""),"",IF(E460=Pengaturan!$J$20,I460,0))</f>
        <v/>
      </c>
      <c r="L460" s="31" t="str">
        <f aca="false">IF(C460="","",MONTH(C460))</f>
        <v/>
      </c>
      <c r="M460" s="34"/>
      <c r="N460" s="34"/>
      <c r="O460" s="34"/>
    </row>
    <row r="461" customFormat="false" ht="15" hidden="false" customHeight="false" outlineLevel="0" collapsed="false">
      <c r="B461" s="31" t="str">
        <f aca="false">IF(C461="","",ROW()-5)</f>
        <v/>
      </c>
      <c r="C461" s="32"/>
      <c r="D461" s="33"/>
      <c r="E461" s="33"/>
      <c r="F461" s="34"/>
      <c r="G461" s="33"/>
      <c r="H461" s="34"/>
      <c r="I461" s="35"/>
      <c r="J461" s="36" t="str">
        <f aca="false">IF(OR(C461="",I461=""),"",IF(E461=Pengaturan!$J$19,I461,0))</f>
        <v/>
      </c>
      <c r="K461" s="36" t="str">
        <f aca="false">IF(OR(C461="",I461=""),"",IF(E461=Pengaturan!$J$20,I461,0))</f>
        <v/>
      </c>
      <c r="L461" s="31" t="str">
        <f aca="false">IF(C461="","",MONTH(C461))</f>
        <v/>
      </c>
      <c r="M461" s="34"/>
      <c r="N461" s="34"/>
      <c r="O461" s="34"/>
    </row>
    <row r="462" customFormat="false" ht="15" hidden="false" customHeight="false" outlineLevel="0" collapsed="false">
      <c r="B462" s="31" t="str">
        <f aca="false">IF(C462="","",ROW()-5)</f>
        <v/>
      </c>
      <c r="C462" s="32"/>
      <c r="D462" s="33"/>
      <c r="E462" s="33"/>
      <c r="F462" s="34"/>
      <c r="G462" s="33"/>
      <c r="H462" s="34"/>
      <c r="I462" s="35"/>
      <c r="J462" s="36" t="str">
        <f aca="false">IF(OR(C462="",I462=""),"",IF(E462=Pengaturan!$J$19,I462,0))</f>
        <v/>
      </c>
      <c r="K462" s="36" t="str">
        <f aca="false">IF(OR(C462="",I462=""),"",IF(E462=Pengaturan!$J$20,I462,0))</f>
        <v/>
      </c>
      <c r="L462" s="31" t="str">
        <f aca="false">IF(C462="","",MONTH(C462))</f>
        <v/>
      </c>
      <c r="M462" s="34"/>
      <c r="N462" s="34"/>
      <c r="O462" s="34"/>
    </row>
    <row r="463" customFormat="false" ht="15" hidden="false" customHeight="false" outlineLevel="0" collapsed="false">
      <c r="B463" s="31" t="str">
        <f aca="false">IF(C463="","",ROW()-5)</f>
        <v/>
      </c>
      <c r="C463" s="32"/>
      <c r="D463" s="33"/>
      <c r="E463" s="33"/>
      <c r="F463" s="34"/>
      <c r="G463" s="33"/>
      <c r="H463" s="34"/>
      <c r="I463" s="35"/>
      <c r="J463" s="36" t="str">
        <f aca="false">IF(OR(C463="",I463=""),"",IF(E463=Pengaturan!$J$19,I463,0))</f>
        <v/>
      </c>
      <c r="K463" s="36" t="str">
        <f aca="false">IF(OR(C463="",I463=""),"",IF(E463=Pengaturan!$J$20,I463,0))</f>
        <v/>
      </c>
      <c r="L463" s="31" t="str">
        <f aca="false">IF(C463="","",MONTH(C463))</f>
        <v/>
      </c>
      <c r="M463" s="34"/>
      <c r="N463" s="34"/>
      <c r="O463" s="34"/>
    </row>
    <row r="464" customFormat="false" ht="15" hidden="false" customHeight="false" outlineLevel="0" collapsed="false">
      <c r="B464" s="31" t="str">
        <f aca="false">IF(C464="","",ROW()-5)</f>
        <v/>
      </c>
      <c r="C464" s="32"/>
      <c r="D464" s="33"/>
      <c r="E464" s="33"/>
      <c r="F464" s="34"/>
      <c r="G464" s="33"/>
      <c r="H464" s="34"/>
      <c r="I464" s="35"/>
      <c r="J464" s="36" t="str">
        <f aca="false">IF(OR(C464="",I464=""),"",IF(E464=Pengaturan!$J$19,I464,0))</f>
        <v/>
      </c>
      <c r="K464" s="36" t="str">
        <f aca="false">IF(OR(C464="",I464=""),"",IF(E464=Pengaturan!$J$20,I464,0))</f>
        <v/>
      </c>
      <c r="L464" s="31" t="str">
        <f aca="false">IF(C464="","",MONTH(C464))</f>
        <v/>
      </c>
      <c r="M464" s="34"/>
      <c r="N464" s="34"/>
      <c r="O464" s="34"/>
    </row>
    <row r="465" customFormat="false" ht="15" hidden="false" customHeight="false" outlineLevel="0" collapsed="false">
      <c r="B465" s="31" t="str">
        <f aca="false">IF(C465="","",ROW()-5)</f>
        <v/>
      </c>
      <c r="C465" s="32"/>
      <c r="D465" s="33"/>
      <c r="E465" s="33"/>
      <c r="F465" s="34"/>
      <c r="G465" s="33"/>
      <c r="H465" s="34"/>
      <c r="I465" s="35"/>
      <c r="J465" s="36" t="str">
        <f aca="false">IF(OR(C465="",I465=""),"",IF(E465=Pengaturan!$J$19,I465,0))</f>
        <v/>
      </c>
      <c r="K465" s="36" t="str">
        <f aca="false">IF(OR(C465="",I465=""),"",IF(E465=Pengaturan!$J$20,I465,0))</f>
        <v/>
      </c>
      <c r="L465" s="31" t="str">
        <f aca="false">IF(C465="","",MONTH(C465))</f>
        <v/>
      </c>
      <c r="M465" s="34"/>
      <c r="N465" s="34"/>
      <c r="O465" s="34"/>
    </row>
    <row r="466" customFormat="false" ht="15" hidden="false" customHeight="false" outlineLevel="0" collapsed="false">
      <c r="B466" s="31" t="str">
        <f aca="false">IF(C466="","",ROW()-5)</f>
        <v/>
      </c>
      <c r="C466" s="32"/>
      <c r="D466" s="33"/>
      <c r="E466" s="33"/>
      <c r="F466" s="34"/>
      <c r="G466" s="33"/>
      <c r="H466" s="34"/>
      <c r="I466" s="35"/>
      <c r="J466" s="36" t="str">
        <f aca="false">IF(OR(C466="",I466=""),"",IF(E466=Pengaturan!$J$19,I466,0))</f>
        <v/>
      </c>
      <c r="K466" s="36" t="str">
        <f aca="false">IF(OR(C466="",I466=""),"",IF(E466=Pengaturan!$J$20,I466,0))</f>
        <v/>
      </c>
      <c r="L466" s="31" t="str">
        <f aca="false">IF(C466="","",MONTH(C466))</f>
        <v/>
      </c>
      <c r="M466" s="34"/>
      <c r="N466" s="34"/>
      <c r="O466" s="34"/>
    </row>
    <row r="467" customFormat="false" ht="15" hidden="false" customHeight="false" outlineLevel="0" collapsed="false">
      <c r="B467" s="31" t="str">
        <f aca="false">IF(C467="","",ROW()-5)</f>
        <v/>
      </c>
      <c r="C467" s="32"/>
      <c r="D467" s="33"/>
      <c r="E467" s="33"/>
      <c r="F467" s="34"/>
      <c r="G467" s="33"/>
      <c r="H467" s="34"/>
      <c r="I467" s="35"/>
      <c r="J467" s="36" t="str">
        <f aca="false">IF(OR(C467="",I467=""),"",IF(E467=Pengaturan!$J$19,I467,0))</f>
        <v/>
      </c>
      <c r="K467" s="36" t="str">
        <f aca="false">IF(OR(C467="",I467=""),"",IF(E467=Pengaturan!$J$20,I467,0))</f>
        <v/>
      </c>
      <c r="L467" s="31" t="str">
        <f aca="false">IF(C467="","",MONTH(C467))</f>
        <v/>
      </c>
      <c r="M467" s="34"/>
      <c r="N467" s="34"/>
      <c r="O467" s="34"/>
    </row>
    <row r="468" customFormat="false" ht="15" hidden="false" customHeight="false" outlineLevel="0" collapsed="false">
      <c r="B468" s="31" t="str">
        <f aca="false">IF(C468="","",ROW()-5)</f>
        <v/>
      </c>
      <c r="C468" s="32"/>
      <c r="D468" s="33"/>
      <c r="E468" s="33"/>
      <c r="F468" s="34"/>
      <c r="G468" s="33"/>
      <c r="H468" s="34"/>
      <c r="I468" s="35"/>
      <c r="J468" s="36" t="str">
        <f aca="false">IF(OR(C468="",I468=""),"",IF(E468=Pengaturan!$J$19,I468,0))</f>
        <v/>
      </c>
      <c r="K468" s="36" t="str">
        <f aca="false">IF(OR(C468="",I468=""),"",IF(E468=Pengaturan!$J$20,I468,0))</f>
        <v/>
      </c>
      <c r="L468" s="31" t="str">
        <f aca="false">IF(C468="","",MONTH(C468))</f>
        <v/>
      </c>
      <c r="M468" s="34"/>
      <c r="N468" s="34"/>
      <c r="O468" s="34"/>
    </row>
    <row r="469" customFormat="false" ht="15" hidden="false" customHeight="false" outlineLevel="0" collapsed="false">
      <c r="B469" s="31" t="str">
        <f aca="false">IF(C469="","",ROW()-5)</f>
        <v/>
      </c>
      <c r="C469" s="32"/>
      <c r="D469" s="33"/>
      <c r="E469" s="33"/>
      <c r="F469" s="34"/>
      <c r="G469" s="33"/>
      <c r="H469" s="34"/>
      <c r="I469" s="35"/>
      <c r="J469" s="36" t="str">
        <f aca="false">IF(OR(C469="",I469=""),"",IF(E469=Pengaturan!$J$19,I469,0))</f>
        <v/>
      </c>
      <c r="K469" s="36" t="str">
        <f aca="false">IF(OR(C469="",I469=""),"",IF(E469=Pengaturan!$J$20,I469,0))</f>
        <v/>
      </c>
      <c r="L469" s="31" t="str">
        <f aca="false">IF(C469="","",MONTH(C469))</f>
        <v/>
      </c>
      <c r="M469" s="34"/>
      <c r="N469" s="34"/>
      <c r="O469" s="34"/>
    </row>
    <row r="470" customFormat="false" ht="15" hidden="false" customHeight="false" outlineLevel="0" collapsed="false">
      <c r="B470" s="31" t="str">
        <f aca="false">IF(C470="","",ROW()-5)</f>
        <v/>
      </c>
      <c r="C470" s="32"/>
      <c r="D470" s="33"/>
      <c r="E470" s="33"/>
      <c r="F470" s="34"/>
      <c r="G470" s="33"/>
      <c r="H470" s="34"/>
      <c r="I470" s="35"/>
      <c r="J470" s="36" t="str">
        <f aca="false">IF(OR(C470="",I470=""),"",IF(E470=Pengaturan!$J$19,I470,0))</f>
        <v/>
      </c>
      <c r="K470" s="36" t="str">
        <f aca="false">IF(OR(C470="",I470=""),"",IF(E470=Pengaturan!$J$20,I470,0))</f>
        <v/>
      </c>
      <c r="L470" s="31" t="str">
        <f aca="false">IF(C470="","",MONTH(C470))</f>
        <v/>
      </c>
      <c r="M470" s="34"/>
      <c r="N470" s="34"/>
      <c r="O470" s="34"/>
    </row>
    <row r="471" customFormat="false" ht="15" hidden="false" customHeight="false" outlineLevel="0" collapsed="false">
      <c r="B471" s="31" t="str">
        <f aca="false">IF(C471="","",ROW()-5)</f>
        <v/>
      </c>
      <c r="C471" s="32"/>
      <c r="D471" s="33"/>
      <c r="E471" s="33"/>
      <c r="F471" s="34"/>
      <c r="G471" s="33"/>
      <c r="H471" s="34"/>
      <c r="I471" s="35"/>
      <c r="J471" s="36" t="str">
        <f aca="false">IF(OR(C471="",I471=""),"",IF(E471=Pengaturan!$J$19,I471,0))</f>
        <v/>
      </c>
      <c r="K471" s="36" t="str">
        <f aca="false">IF(OR(C471="",I471=""),"",IF(E471=Pengaturan!$J$20,I471,0))</f>
        <v/>
      </c>
      <c r="L471" s="31" t="str">
        <f aca="false">IF(C471="","",MONTH(C471))</f>
        <v/>
      </c>
      <c r="M471" s="34"/>
      <c r="N471" s="34"/>
      <c r="O471" s="34"/>
    </row>
    <row r="472" customFormat="false" ht="15" hidden="false" customHeight="false" outlineLevel="0" collapsed="false">
      <c r="B472" s="31" t="str">
        <f aca="false">IF(C472="","",ROW()-5)</f>
        <v/>
      </c>
      <c r="C472" s="32"/>
      <c r="D472" s="33"/>
      <c r="E472" s="33"/>
      <c r="F472" s="34"/>
      <c r="G472" s="33"/>
      <c r="H472" s="34"/>
      <c r="I472" s="35"/>
      <c r="J472" s="36" t="str">
        <f aca="false">IF(OR(C472="",I472=""),"",IF(E472=Pengaturan!$J$19,I472,0))</f>
        <v/>
      </c>
      <c r="K472" s="36" t="str">
        <f aca="false">IF(OR(C472="",I472=""),"",IF(E472=Pengaturan!$J$20,I472,0))</f>
        <v/>
      </c>
      <c r="L472" s="31" t="str">
        <f aca="false">IF(C472="","",MONTH(C472))</f>
        <v/>
      </c>
      <c r="M472" s="34"/>
      <c r="N472" s="34"/>
      <c r="O472" s="34"/>
    </row>
    <row r="473" customFormat="false" ht="15" hidden="false" customHeight="false" outlineLevel="0" collapsed="false">
      <c r="B473" s="31" t="str">
        <f aca="false">IF(C473="","",ROW()-5)</f>
        <v/>
      </c>
      <c r="C473" s="32"/>
      <c r="D473" s="33"/>
      <c r="E473" s="33"/>
      <c r="F473" s="34"/>
      <c r="G473" s="33"/>
      <c r="H473" s="34"/>
      <c r="I473" s="35"/>
      <c r="J473" s="36" t="str">
        <f aca="false">IF(OR(C473="",I473=""),"",IF(E473=Pengaturan!$J$19,I473,0))</f>
        <v/>
      </c>
      <c r="K473" s="36" t="str">
        <f aca="false">IF(OR(C473="",I473=""),"",IF(E473=Pengaturan!$J$20,I473,0))</f>
        <v/>
      </c>
      <c r="L473" s="31" t="str">
        <f aca="false">IF(C473="","",MONTH(C473))</f>
        <v/>
      </c>
      <c r="M473" s="34"/>
      <c r="N473" s="34"/>
      <c r="O473" s="34"/>
    </row>
    <row r="474" customFormat="false" ht="15" hidden="false" customHeight="false" outlineLevel="0" collapsed="false">
      <c r="B474" s="31" t="str">
        <f aca="false">IF(C474="","",ROW()-5)</f>
        <v/>
      </c>
      <c r="C474" s="32"/>
      <c r="D474" s="33"/>
      <c r="E474" s="33"/>
      <c r="F474" s="34"/>
      <c r="G474" s="33"/>
      <c r="H474" s="34"/>
      <c r="I474" s="35"/>
      <c r="J474" s="36" t="str">
        <f aca="false">IF(OR(C474="",I474=""),"",IF(E474=Pengaturan!$J$19,I474,0))</f>
        <v/>
      </c>
      <c r="K474" s="36" t="str">
        <f aca="false">IF(OR(C474="",I474=""),"",IF(E474=Pengaturan!$J$20,I474,0))</f>
        <v/>
      </c>
      <c r="L474" s="31" t="str">
        <f aca="false">IF(C474="","",MONTH(C474))</f>
        <v/>
      </c>
      <c r="M474" s="34"/>
      <c r="N474" s="34"/>
      <c r="O474" s="34"/>
    </row>
    <row r="475" customFormat="false" ht="15" hidden="false" customHeight="false" outlineLevel="0" collapsed="false">
      <c r="B475" s="31" t="str">
        <f aca="false">IF(C475="","",ROW()-5)</f>
        <v/>
      </c>
      <c r="C475" s="32"/>
      <c r="D475" s="33"/>
      <c r="E475" s="33"/>
      <c r="F475" s="34"/>
      <c r="G475" s="33"/>
      <c r="H475" s="34"/>
      <c r="I475" s="35"/>
      <c r="J475" s="36" t="str">
        <f aca="false">IF(OR(C475="",I475=""),"",IF(E475=Pengaturan!$J$19,I475,0))</f>
        <v/>
      </c>
      <c r="K475" s="36" t="str">
        <f aca="false">IF(OR(C475="",I475=""),"",IF(E475=Pengaturan!$J$20,I475,0))</f>
        <v/>
      </c>
      <c r="L475" s="31" t="str">
        <f aca="false">IF(C475="","",MONTH(C475))</f>
        <v/>
      </c>
      <c r="M475" s="34"/>
      <c r="N475" s="34"/>
      <c r="O475" s="34"/>
    </row>
    <row r="476" customFormat="false" ht="15" hidden="false" customHeight="false" outlineLevel="0" collapsed="false">
      <c r="B476" s="31" t="str">
        <f aca="false">IF(C476="","",ROW()-5)</f>
        <v/>
      </c>
      <c r="C476" s="32"/>
      <c r="D476" s="33"/>
      <c r="E476" s="33"/>
      <c r="F476" s="34"/>
      <c r="G476" s="33"/>
      <c r="H476" s="34"/>
      <c r="I476" s="35"/>
      <c r="J476" s="36" t="str">
        <f aca="false">IF(OR(C476="",I476=""),"",IF(E476=Pengaturan!$J$19,I476,0))</f>
        <v/>
      </c>
      <c r="K476" s="36" t="str">
        <f aca="false">IF(OR(C476="",I476=""),"",IF(E476=Pengaturan!$J$20,I476,0))</f>
        <v/>
      </c>
      <c r="L476" s="31" t="str">
        <f aca="false">IF(C476="","",MONTH(C476))</f>
        <v/>
      </c>
      <c r="M476" s="34"/>
      <c r="N476" s="34"/>
      <c r="O476" s="34"/>
    </row>
    <row r="477" customFormat="false" ht="15" hidden="false" customHeight="false" outlineLevel="0" collapsed="false">
      <c r="B477" s="31" t="str">
        <f aca="false">IF(C477="","",ROW()-5)</f>
        <v/>
      </c>
      <c r="C477" s="32"/>
      <c r="D477" s="33"/>
      <c r="E477" s="33"/>
      <c r="F477" s="34"/>
      <c r="G477" s="33"/>
      <c r="H477" s="34"/>
      <c r="I477" s="35"/>
      <c r="J477" s="36" t="str">
        <f aca="false">IF(OR(C477="",I477=""),"",IF(E477=Pengaturan!$J$19,I477,0))</f>
        <v/>
      </c>
      <c r="K477" s="36" t="str">
        <f aca="false">IF(OR(C477="",I477=""),"",IF(E477=Pengaturan!$J$20,I477,0))</f>
        <v/>
      </c>
      <c r="L477" s="31" t="str">
        <f aca="false">IF(C477="","",MONTH(C477))</f>
        <v/>
      </c>
      <c r="M477" s="34"/>
      <c r="N477" s="34"/>
      <c r="O477" s="34"/>
    </row>
    <row r="478" customFormat="false" ht="15" hidden="false" customHeight="false" outlineLevel="0" collapsed="false">
      <c r="B478" s="31" t="str">
        <f aca="false">IF(C478="","",ROW()-5)</f>
        <v/>
      </c>
      <c r="C478" s="32"/>
      <c r="D478" s="33"/>
      <c r="E478" s="33"/>
      <c r="F478" s="34"/>
      <c r="G478" s="33"/>
      <c r="H478" s="34"/>
      <c r="I478" s="35"/>
      <c r="J478" s="36" t="str">
        <f aca="false">IF(OR(C478="",I478=""),"",IF(E478=Pengaturan!$J$19,I478,0))</f>
        <v/>
      </c>
      <c r="K478" s="36" t="str">
        <f aca="false">IF(OR(C478="",I478=""),"",IF(E478=Pengaturan!$J$20,I478,0))</f>
        <v/>
      </c>
      <c r="L478" s="31" t="str">
        <f aca="false">IF(C478="","",MONTH(C478))</f>
        <v/>
      </c>
      <c r="M478" s="34"/>
      <c r="N478" s="34"/>
      <c r="O478" s="34"/>
    </row>
    <row r="479" customFormat="false" ht="15" hidden="false" customHeight="false" outlineLevel="0" collapsed="false">
      <c r="B479" s="31" t="str">
        <f aca="false">IF(C479="","",ROW()-5)</f>
        <v/>
      </c>
      <c r="C479" s="32"/>
      <c r="D479" s="33"/>
      <c r="E479" s="33"/>
      <c r="F479" s="34"/>
      <c r="G479" s="33"/>
      <c r="H479" s="34"/>
      <c r="I479" s="35"/>
      <c r="J479" s="36" t="str">
        <f aca="false">IF(OR(C479="",I479=""),"",IF(E479=Pengaturan!$J$19,I479,0))</f>
        <v/>
      </c>
      <c r="K479" s="36" t="str">
        <f aca="false">IF(OR(C479="",I479=""),"",IF(E479=Pengaturan!$J$20,I479,0))</f>
        <v/>
      </c>
      <c r="L479" s="31" t="str">
        <f aca="false">IF(C479="","",MONTH(C479))</f>
        <v/>
      </c>
      <c r="M479" s="34"/>
      <c r="N479" s="34"/>
      <c r="O479" s="34"/>
    </row>
    <row r="480" customFormat="false" ht="15" hidden="false" customHeight="false" outlineLevel="0" collapsed="false">
      <c r="B480" s="31" t="str">
        <f aca="false">IF(C480="","",ROW()-5)</f>
        <v/>
      </c>
      <c r="C480" s="32"/>
      <c r="D480" s="33"/>
      <c r="E480" s="33"/>
      <c r="F480" s="34"/>
      <c r="G480" s="33"/>
      <c r="H480" s="34"/>
      <c r="I480" s="35"/>
      <c r="J480" s="36" t="str">
        <f aca="false">IF(OR(C480="",I480=""),"",IF(E480=Pengaturan!$J$19,I480,0))</f>
        <v/>
      </c>
      <c r="K480" s="36" t="str">
        <f aca="false">IF(OR(C480="",I480=""),"",IF(E480=Pengaturan!$J$20,I480,0))</f>
        <v/>
      </c>
      <c r="L480" s="31" t="str">
        <f aca="false">IF(C480="","",MONTH(C480))</f>
        <v/>
      </c>
      <c r="M480" s="34"/>
      <c r="N480" s="34"/>
      <c r="O480" s="34"/>
    </row>
    <row r="481" customFormat="false" ht="15" hidden="false" customHeight="false" outlineLevel="0" collapsed="false">
      <c r="B481" s="31" t="str">
        <f aca="false">IF(C481="","",ROW()-5)</f>
        <v/>
      </c>
      <c r="C481" s="32"/>
      <c r="D481" s="33"/>
      <c r="E481" s="33"/>
      <c r="F481" s="34"/>
      <c r="G481" s="33"/>
      <c r="H481" s="34"/>
      <c r="I481" s="35"/>
      <c r="J481" s="36" t="str">
        <f aca="false">IF(OR(C481="",I481=""),"",IF(E481=Pengaturan!$J$19,I481,0))</f>
        <v/>
      </c>
      <c r="K481" s="36" t="str">
        <f aca="false">IF(OR(C481="",I481=""),"",IF(E481=Pengaturan!$J$20,I481,0))</f>
        <v/>
      </c>
      <c r="L481" s="31" t="str">
        <f aca="false">IF(C481="","",MONTH(C481))</f>
        <v/>
      </c>
      <c r="M481" s="34"/>
      <c r="N481" s="34"/>
      <c r="O481" s="34"/>
    </row>
    <row r="482" customFormat="false" ht="15" hidden="false" customHeight="false" outlineLevel="0" collapsed="false">
      <c r="B482" s="31" t="str">
        <f aca="false">IF(C482="","",ROW()-5)</f>
        <v/>
      </c>
      <c r="C482" s="32"/>
      <c r="D482" s="33"/>
      <c r="E482" s="33"/>
      <c r="F482" s="34"/>
      <c r="G482" s="33"/>
      <c r="H482" s="34"/>
      <c r="I482" s="35"/>
      <c r="J482" s="36" t="str">
        <f aca="false">IF(OR(C482="",I482=""),"",IF(E482=Pengaturan!$J$19,I482,0))</f>
        <v/>
      </c>
      <c r="K482" s="36" t="str">
        <f aca="false">IF(OR(C482="",I482=""),"",IF(E482=Pengaturan!$J$20,I482,0))</f>
        <v/>
      </c>
      <c r="L482" s="31" t="str">
        <f aca="false">IF(C482="","",MONTH(C482))</f>
        <v/>
      </c>
      <c r="M482" s="34"/>
      <c r="N482" s="34"/>
      <c r="O482" s="34"/>
    </row>
    <row r="483" customFormat="false" ht="15" hidden="false" customHeight="false" outlineLevel="0" collapsed="false">
      <c r="B483" s="31" t="str">
        <f aca="false">IF(C483="","",ROW()-5)</f>
        <v/>
      </c>
      <c r="C483" s="32"/>
      <c r="D483" s="33"/>
      <c r="E483" s="33"/>
      <c r="F483" s="34"/>
      <c r="G483" s="33"/>
      <c r="H483" s="34"/>
      <c r="I483" s="35"/>
      <c r="J483" s="36" t="str">
        <f aca="false">IF(OR(C483="",I483=""),"",IF(E483=Pengaturan!$J$19,I483,0))</f>
        <v/>
      </c>
      <c r="K483" s="36" t="str">
        <f aca="false">IF(OR(C483="",I483=""),"",IF(E483=Pengaturan!$J$20,I483,0))</f>
        <v/>
      </c>
      <c r="L483" s="31" t="str">
        <f aca="false">IF(C483="","",MONTH(C483))</f>
        <v/>
      </c>
      <c r="M483" s="34"/>
      <c r="N483" s="34"/>
      <c r="O483" s="34"/>
    </row>
    <row r="484" customFormat="false" ht="15" hidden="false" customHeight="false" outlineLevel="0" collapsed="false">
      <c r="B484" s="31" t="str">
        <f aca="false">IF(C484="","",ROW()-5)</f>
        <v/>
      </c>
      <c r="C484" s="32"/>
      <c r="D484" s="33"/>
      <c r="E484" s="33"/>
      <c r="F484" s="34"/>
      <c r="G484" s="33"/>
      <c r="H484" s="34"/>
      <c r="I484" s="35"/>
      <c r="J484" s="36" t="str">
        <f aca="false">IF(OR(C484="",I484=""),"",IF(E484=Pengaturan!$J$19,I484,0))</f>
        <v/>
      </c>
      <c r="K484" s="36" t="str">
        <f aca="false">IF(OR(C484="",I484=""),"",IF(E484=Pengaturan!$J$20,I484,0))</f>
        <v/>
      </c>
      <c r="L484" s="31" t="str">
        <f aca="false">IF(C484="","",MONTH(C484))</f>
        <v/>
      </c>
      <c r="M484" s="34"/>
      <c r="N484" s="34"/>
      <c r="O484" s="34"/>
    </row>
    <row r="485" customFormat="false" ht="15" hidden="false" customHeight="false" outlineLevel="0" collapsed="false">
      <c r="B485" s="31" t="str">
        <f aca="false">IF(C485="","",ROW()-5)</f>
        <v/>
      </c>
      <c r="C485" s="32"/>
      <c r="D485" s="33"/>
      <c r="E485" s="33"/>
      <c r="F485" s="34"/>
      <c r="G485" s="33"/>
      <c r="H485" s="34"/>
      <c r="I485" s="35"/>
      <c r="J485" s="36" t="str">
        <f aca="false">IF(OR(C485="",I485=""),"",IF(E485=Pengaturan!$J$19,I485,0))</f>
        <v/>
      </c>
      <c r="K485" s="36" t="str">
        <f aca="false">IF(OR(C485="",I485=""),"",IF(E485=Pengaturan!$J$20,I485,0))</f>
        <v/>
      </c>
      <c r="L485" s="31" t="str">
        <f aca="false">IF(C485="","",MONTH(C485))</f>
        <v/>
      </c>
      <c r="M485" s="34"/>
      <c r="N485" s="34"/>
      <c r="O485" s="34"/>
    </row>
    <row r="486" customFormat="false" ht="15" hidden="false" customHeight="false" outlineLevel="0" collapsed="false">
      <c r="B486" s="31" t="str">
        <f aca="false">IF(C486="","",ROW()-5)</f>
        <v/>
      </c>
      <c r="C486" s="32"/>
      <c r="D486" s="33"/>
      <c r="E486" s="33"/>
      <c r="F486" s="34"/>
      <c r="G486" s="33"/>
      <c r="H486" s="34"/>
      <c r="I486" s="35"/>
      <c r="J486" s="36" t="str">
        <f aca="false">IF(OR(C486="",I486=""),"",IF(E486=Pengaturan!$J$19,I486,0))</f>
        <v/>
      </c>
      <c r="K486" s="36" t="str">
        <f aca="false">IF(OR(C486="",I486=""),"",IF(E486=Pengaturan!$J$20,I486,0))</f>
        <v/>
      </c>
      <c r="L486" s="31" t="str">
        <f aca="false">IF(C486="","",MONTH(C486))</f>
        <v/>
      </c>
      <c r="M486" s="34"/>
      <c r="N486" s="34"/>
      <c r="O486" s="34"/>
    </row>
    <row r="487" customFormat="false" ht="15" hidden="false" customHeight="false" outlineLevel="0" collapsed="false">
      <c r="B487" s="31" t="str">
        <f aca="false">IF(C487="","",ROW()-5)</f>
        <v/>
      </c>
      <c r="C487" s="32"/>
      <c r="D487" s="33"/>
      <c r="E487" s="33"/>
      <c r="F487" s="34"/>
      <c r="G487" s="33"/>
      <c r="H487" s="34"/>
      <c r="I487" s="35"/>
      <c r="J487" s="36" t="str">
        <f aca="false">IF(OR(C487="",I487=""),"",IF(E487=Pengaturan!$J$19,I487,0))</f>
        <v/>
      </c>
      <c r="K487" s="36" t="str">
        <f aca="false">IF(OR(C487="",I487=""),"",IF(E487=Pengaturan!$J$20,I487,0))</f>
        <v/>
      </c>
      <c r="L487" s="31" t="str">
        <f aca="false">IF(C487="","",MONTH(C487))</f>
        <v/>
      </c>
      <c r="M487" s="34"/>
      <c r="N487" s="34"/>
      <c r="O487" s="34"/>
    </row>
    <row r="488" customFormat="false" ht="15" hidden="false" customHeight="false" outlineLevel="0" collapsed="false">
      <c r="B488" s="31" t="str">
        <f aca="false">IF(C488="","",ROW()-5)</f>
        <v/>
      </c>
      <c r="C488" s="32"/>
      <c r="D488" s="33"/>
      <c r="E488" s="33"/>
      <c r="F488" s="34"/>
      <c r="G488" s="33"/>
      <c r="H488" s="34"/>
      <c r="I488" s="35"/>
      <c r="J488" s="36" t="str">
        <f aca="false">IF(OR(C488="",I488=""),"",IF(E488=Pengaturan!$J$19,I488,0))</f>
        <v/>
      </c>
      <c r="K488" s="36" t="str">
        <f aca="false">IF(OR(C488="",I488=""),"",IF(E488=Pengaturan!$J$20,I488,0))</f>
        <v/>
      </c>
      <c r="L488" s="31" t="str">
        <f aca="false">IF(C488="","",MONTH(C488))</f>
        <v/>
      </c>
      <c r="M488" s="34"/>
      <c r="N488" s="34"/>
      <c r="O488" s="34"/>
    </row>
    <row r="489" customFormat="false" ht="15" hidden="false" customHeight="false" outlineLevel="0" collapsed="false">
      <c r="B489" s="31" t="str">
        <f aca="false">IF(C489="","",ROW()-5)</f>
        <v/>
      </c>
      <c r="C489" s="32"/>
      <c r="D489" s="33"/>
      <c r="E489" s="33"/>
      <c r="F489" s="34"/>
      <c r="G489" s="33"/>
      <c r="H489" s="34"/>
      <c r="I489" s="35"/>
      <c r="J489" s="36" t="str">
        <f aca="false">IF(OR(C489="",I489=""),"",IF(E489=Pengaturan!$J$19,I489,0))</f>
        <v/>
      </c>
      <c r="K489" s="36" t="str">
        <f aca="false">IF(OR(C489="",I489=""),"",IF(E489=Pengaturan!$J$20,I489,0))</f>
        <v/>
      </c>
      <c r="L489" s="31" t="str">
        <f aca="false">IF(C489="","",MONTH(C489))</f>
        <v/>
      </c>
      <c r="M489" s="34"/>
      <c r="N489" s="34"/>
      <c r="O489" s="34"/>
    </row>
    <row r="490" customFormat="false" ht="15" hidden="false" customHeight="false" outlineLevel="0" collapsed="false">
      <c r="B490" s="31" t="str">
        <f aca="false">IF(C490="","",ROW()-5)</f>
        <v/>
      </c>
      <c r="C490" s="32"/>
      <c r="D490" s="33"/>
      <c r="E490" s="33"/>
      <c r="F490" s="34"/>
      <c r="G490" s="33"/>
      <c r="H490" s="34"/>
      <c r="I490" s="35"/>
      <c r="J490" s="36" t="str">
        <f aca="false">IF(OR(C490="",I490=""),"",IF(E490=Pengaturan!$J$19,I490,0))</f>
        <v/>
      </c>
      <c r="K490" s="36" t="str">
        <f aca="false">IF(OR(C490="",I490=""),"",IF(E490=Pengaturan!$J$20,I490,0))</f>
        <v/>
      </c>
      <c r="L490" s="31" t="str">
        <f aca="false">IF(C490="","",MONTH(C490))</f>
        <v/>
      </c>
      <c r="M490" s="34"/>
      <c r="N490" s="34"/>
      <c r="O490" s="34"/>
    </row>
    <row r="491" customFormat="false" ht="15" hidden="false" customHeight="false" outlineLevel="0" collapsed="false">
      <c r="B491" s="31" t="str">
        <f aca="false">IF(C491="","",ROW()-5)</f>
        <v/>
      </c>
      <c r="C491" s="32"/>
      <c r="D491" s="33"/>
      <c r="E491" s="33"/>
      <c r="F491" s="34"/>
      <c r="G491" s="33"/>
      <c r="H491" s="34"/>
      <c r="I491" s="35"/>
      <c r="J491" s="36" t="str">
        <f aca="false">IF(OR(C491="",I491=""),"",IF(E491=Pengaturan!$J$19,I491,0))</f>
        <v/>
      </c>
      <c r="K491" s="36" t="str">
        <f aca="false">IF(OR(C491="",I491=""),"",IF(E491=Pengaturan!$J$20,I491,0))</f>
        <v/>
      </c>
      <c r="L491" s="31" t="str">
        <f aca="false">IF(C491="","",MONTH(C491))</f>
        <v/>
      </c>
      <c r="M491" s="34"/>
      <c r="N491" s="34"/>
      <c r="O491" s="34"/>
    </row>
    <row r="492" customFormat="false" ht="15" hidden="false" customHeight="false" outlineLevel="0" collapsed="false">
      <c r="B492" s="31" t="str">
        <f aca="false">IF(C492="","",ROW()-5)</f>
        <v/>
      </c>
      <c r="C492" s="32"/>
      <c r="D492" s="33"/>
      <c r="E492" s="33"/>
      <c r="F492" s="34"/>
      <c r="G492" s="33"/>
      <c r="H492" s="34"/>
      <c r="I492" s="35"/>
      <c r="J492" s="36" t="str">
        <f aca="false">IF(OR(C492="",I492=""),"",IF(E492=Pengaturan!$J$19,I492,0))</f>
        <v/>
      </c>
      <c r="K492" s="36" t="str">
        <f aca="false">IF(OR(C492="",I492=""),"",IF(E492=Pengaturan!$J$20,I492,0))</f>
        <v/>
      </c>
      <c r="L492" s="31" t="str">
        <f aca="false">IF(C492="","",MONTH(C492))</f>
        <v/>
      </c>
      <c r="M492" s="34"/>
      <c r="N492" s="34"/>
      <c r="O492" s="34"/>
    </row>
    <row r="493" customFormat="false" ht="15" hidden="false" customHeight="false" outlineLevel="0" collapsed="false">
      <c r="B493" s="31" t="str">
        <f aca="false">IF(C493="","",ROW()-5)</f>
        <v/>
      </c>
      <c r="C493" s="32"/>
      <c r="D493" s="33"/>
      <c r="E493" s="33"/>
      <c r="F493" s="34"/>
      <c r="G493" s="33"/>
      <c r="H493" s="34"/>
      <c r="I493" s="35"/>
      <c r="J493" s="36" t="str">
        <f aca="false">IF(OR(C493="",I493=""),"",IF(E493=Pengaturan!$J$19,I493,0))</f>
        <v/>
      </c>
      <c r="K493" s="36" t="str">
        <f aca="false">IF(OR(C493="",I493=""),"",IF(E493=Pengaturan!$J$20,I493,0))</f>
        <v/>
      </c>
      <c r="L493" s="31" t="str">
        <f aca="false">IF(C493="","",MONTH(C493))</f>
        <v/>
      </c>
      <c r="M493" s="34"/>
      <c r="N493" s="34"/>
      <c r="O493" s="34"/>
    </row>
    <row r="494" customFormat="false" ht="15" hidden="false" customHeight="false" outlineLevel="0" collapsed="false">
      <c r="B494" s="31" t="str">
        <f aca="false">IF(C494="","",ROW()-5)</f>
        <v/>
      </c>
      <c r="C494" s="32"/>
      <c r="D494" s="33"/>
      <c r="E494" s="33"/>
      <c r="F494" s="34"/>
      <c r="G494" s="33"/>
      <c r="H494" s="34"/>
      <c r="I494" s="35"/>
      <c r="J494" s="36" t="str">
        <f aca="false">IF(OR(C494="",I494=""),"",IF(E494=Pengaturan!$J$19,I494,0))</f>
        <v/>
      </c>
      <c r="K494" s="36" t="str">
        <f aca="false">IF(OR(C494="",I494=""),"",IF(E494=Pengaturan!$J$20,I494,0))</f>
        <v/>
      </c>
      <c r="L494" s="31" t="str">
        <f aca="false">IF(C494="","",MONTH(C494))</f>
        <v/>
      </c>
      <c r="M494" s="34"/>
      <c r="N494" s="34"/>
      <c r="O494" s="34"/>
    </row>
    <row r="495" customFormat="false" ht="15" hidden="false" customHeight="false" outlineLevel="0" collapsed="false">
      <c r="B495" s="31" t="str">
        <f aca="false">IF(C495="","",ROW()-5)</f>
        <v/>
      </c>
      <c r="C495" s="32"/>
      <c r="D495" s="33"/>
      <c r="E495" s="33"/>
      <c r="F495" s="34"/>
      <c r="G495" s="33"/>
      <c r="H495" s="34"/>
      <c r="I495" s="35"/>
      <c r="J495" s="36" t="str">
        <f aca="false">IF(OR(C495="",I495=""),"",IF(E495=Pengaturan!$J$19,I495,0))</f>
        <v/>
      </c>
      <c r="K495" s="36" t="str">
        <f aca="false">IF(OR(C495="",I495=""),"",IF(E495=Pengaturan!$J$20,I495,0))</f>
        <v/>
      </c>
      <c r="L495" s="31" t="str">
        <f aca="false">IF(C495="","",MONTH(C495))</f>
        <v/>
      </c>
      <c r="M495" s="34"/>
      <c r="N495" s="34"/>
      <c r="O495" s="34"/>
    </row>
    <row r="496" customFormat="false" ht="15" hidden="false" customHeight="false" outlineLevel="0" collapsed="false">
      <c r="B496" s="31" t="str">
        <f aca="false">IF(C496="","",ROW()-5)</f>
        <v/>
      </c>
      <c r="C496" s="32"/>
      <c r="D496" s="33"/>
      <c r="E496" s="33"/>
      <c r="F496" s="34"/>
      <c r="G496" s="33"/>
      <c r="H496" s="34"/>
      <c r="I496" s="35"/>
      <c r="J496" s="36" t="str">
        <f aca="false">IF(OR(C496="",I496=""),"",IF(E496=Pengaturan!$J$19,I496,0))</f>
        <v/>
      </c>
      <c r="K496" s="36" t="str">
        <f aca="false">IF(OR(C496="",I496=""),"",IF(E496=Pengaturan!$J$20,I496,0))</f>
        <v/>
      </c>
      <c r="L496" s="31" t="str">
        <f aca="false">IF(C496="","",MONTH(C496))</f>
        <v/>
      </c>
      <c r="M496" s="34"/>
      <c r="N496" s="34"/>
      <c r="O496" s="34"/>
    </row>
    <row r="497" customFormat="false" ht="15" hidden="false" customHeight="false" outlineLevel="0" collapsed="false">
      <c r="B497" s="31" t="str">
        <f aca="false">IF(C497="","",ROW()-5)</f>
        <v/>
      </c>
      <c r="C497" s="32"/>
      <c r="D497" s="33"/>
      <c r="E497" s="33"/>
      <c r="F497" s="34"/>
      <c r="G497" s="33"/>
      <c r="H497" s="34"/>
      <c r="I497" s="35"/>
      <c r="J497" s="36" t="str">
        <f aca="false">IF(OR(C497="",I497=""),"",IF(E497=Pengaturan!$J$19,I497,0))</f>
        <v/>
      </c>
      <c r="K497" s="36" t="str">
        <f aca="false">IF(OR(C497="",I497=""),"",IF(E497=Pengaturan!$J$20,I497,0))</f>
        <v/>
      </c>
      <c r="L497" s="31" t="str">
        <f aca="false">IF(C497="","",MONTH(C497))</f>
        <v/>
      </c>
      <c r="M497" s="34"/>
      <c r="N497" s="34"/>
      <c r="O497" s="34"/>
    </row>
    <row r="498" customFormat="false" ht="15" hidden="false" customHeight="false" outlineLevel="0" collapsed="false">
      <c r="B498" s="31" t="str">
        <f aca="false">IF(C498="","",ROW()-5)</f>
        <v/>
      </c>
      <c r="C498" s="32"/>
      <c r="D498" s="33"/>
      <c r="E498" s="33"/>
      <c r="F498" s="34"/>
      <c r="G498" s="33"/>
      <c r="H498" s="34"/>
      <c r="I498" s="35"/>
      <c r="J498" s="36" t="str">
        <f aca="false">IF(OR(C498="",I498=""),"",IF(E498=Pengaturan!$J$19,I498,0))</f>
        <v/>
      </c>
      <c r="K498" s="36" t="str">
        <f aca="false">IF(OR(C498="",I498=""),"",IF(E498=Pengaturan!$J$20,I498,0))</f>
        <v/>
      </c>
      <c r="L498" s="31" t="str">
        <f aca="false">IF(C498="","",MONTH(C498))</f>
        <v/>
      </c>
      <c r="M498" s="34"/>
      <c r="N498" s="34"/>
      <c r="O498" s="34"/>
    </row>
    <row r="499" customFormat="false" ht="15" hidden="false" customHeight="false" outlineLevel="0" collapsed="false">
      <c r="B499" s="31" t="str">
        <f aca="false">IF(C499="","",ROW()-5)</f>
        <v/>
      </c>
      <c r="C499" s="32"/>
      <c r="D499" s="33"/>
      <c r="E499" s="33"/>
      <c r="F499" s="34"/>
      <c r="G499" s="33"/>
      <c r="H499" s="34"/>
      <c r="I499" s="35"/>
      <c r="J499" s="36" t="str">
        <f aca="false">IF(OR(C499="",I499=""),"",IF(E499=Pengaturan!$J$19,I499,0))</f>
        <v/>
      </c>
      <c r="K499" s="36" t="str">
        <f aca="false">IF(OR(C499="",I499=""),"",IF(E499=Pengaturan!$J$20,I499,0))</f>
        <v/>
      </c>
      <c r="L499" s="31" t="str">
        <f aca="false">IF(C499="","",MONTH(C499))</f>
        <v/>
      </c>
      <c r="M499" s="34"/>
      <c r="N499" s="34"/>
      <c r="O499" s="34"/>
    </row>
    <row r="500" customFormat="false" ht="15" hidden="false" customHeight="false" outlineLevel="0" collapsed="false">
      <c r="B500" s="31" t="str">
        <f aca="false">IF(C500="","",ROW()-5)</f>
        <v/>
      </c>
      <c r="C500" s="32"/>
      <c r="D500" s="33"/>
      <c r="E500" s="33"/>
      <c r="F500" s="34"/>
      <c r="G500" s="33"/>
      <c r="H500" s="34"/>
      <c r="I500" s="35"/>
      <c r="J500" s="36" t="str">
        <f aca="false">IF(OR(C500="",I500=""),"",IF(E500=Pengaturan!$J$19,I500,0))</f>
        <v/>
      </c>
      <c r="K500" s="36" t="str">
        <f aca="false">IF(OR(C500="",I500=""),"",IF(E500=Pengaturan!$J$20,I500,0))</f>
        <v/>
      </c>
      <c r="L500" s="31" t="str">
        <f aca="false">IF(C500="","",MONTH(C500))</f>
        <v/>
      </c>
      <c r="M500" s="34"/>
      <c r="N500" s="34"/>
      <c r="O500" s="34"/>
    </row>
    <row r="501" customFormat="false" ht="15" hidden="false" customHeight="false" outlineLevel="0" collapsed="false">
      <c r="B501" s="31" t="str">
        <f aca="false">IF(C501="","",ROW()-5)</f>
        <v/>
      </c>
      <c r="C501" s="32"/>
      <c r="D501" s="33"/>
      <c r="E501" s="33"/>
      <c r="F501" s="34"/>
      <c r="G501" s="33"/>
      <c r="H501" s="34"/>
      <c r="I501" s="35"/>
      <c r="J501" s="36" t="str">
        <f aca="false">IF(OR(C501="",I501=""),"",IF(E501=Pengaturan!$J$19,I501,0))</f>
        <v/>
      </c>
      <c r="K501" s="36" t="str">
        <f aca="false">IF(OR(C501="",I501=""),"",IF(E501=Pengaturan!$J$20,I501,0))</f>
        <v/>
      </c>
      <c r="L501" s="31" t="str">
        <f aca="false">IF(C501="","",MONTH(C501))</f>
        <v/>
      </c>
      <c r="M501" s="34"/>
      <c r="N501" s="34"/>
      <c r="O501" s="34"/>
    </row>
    <row r="502" customFormat="false" ht="15" hidden="false" customHeight="false" outlineLevel="0" collapsed="false">
      <c r="B502" s="31" t="str">
        <f aca="false">IF(C502="","",ROW()-5)</f>
        <v/>
      </c>
      <c r="C502" s="32"/>
      <c r="D502" s="33"/>
      <c r="E502" s="33"/>
      <c r="F502" s="34"/>
      <c r="G502" s="33"/>
      <c r="H502" s="34"/>
      <c r="I502" s="35"/>
      <c r="J502" s="36" t="str">
        <f aca="false">IF(OR(C502="",I502=""),"",IF(E502=Pengaturan!$J$19,I502,0))</f>
        <v/>
      </c>
      <c r="K502" s="36" t="str">
        <f aca="false">IF(OR(C502="",I502=""),"",IF(E502=Pengaturan!$J$20,I502,0))</f>
        <v/>
      </c>
      <c r="L502" s="31" t="str">
        <f aca="false">IF(C502="","",MONTH(C502))</f>
        <v/>
      </c>
      <c r="M502" s="34"/>
      <c r="N502" s="34"/>
      <c r="O502" s="34"/>
    </row>
    <row r="503" customFormat="false" ht="15" hidden="false" customHeight="false" outlineLevel="0" collapsed="false">
      <c r="B503" s="31" t="str">
        <f aca="false">IF(C503="","",ROW()-5)</f>
        <v/>
      </c>
      <c r="C503" s="32"/>
      <c r="D503" s="33"/>
      <c r="E503" s="33"/>
      <c r="F503" s="34"/>
      <c r="G503" s="33"/>
      <c r="H503" s="34"/>
      <c r="I503" s="35"/>
      <c r="J503" s="36" t="str">
        <f aca="false">IF(OR(C503="",I503=""),"",IF(E503=Pengaturan!$J$19,I503,0))</f>
        <v/>
      </c>
      <c r="K503" s="36" t="str">
        <f aca="false">IF(OR(C503="",I503=""),"",IF(E503=Pengaturan!$J$20,I503,0))</f>
        <v/>
      </c>
      <c r="L503" s="31" t="str">
        <f aca="false">IF(C503="","",MONTH(C503))</f>
        <v/>
      </c>
      <c r="M503" s="34"/>
      <c r="N503" s="34"/>
      <c r="O503" s="34"/>
    </row>
    <row r="504" customFormat="false" ht="15" hidden="false" customHeight="false" outlineLevel="0" collapsed="false">
      <c r="B504" s="31" t="str">
        <f aca="false">IF(C504="","",ROW()-5)</f>
        <v/>
      </c>
      <c r="C504" s="32"/>
      <c r="D504" s="33"/>
      <c r="E504" s="33"/>
      <c r="F504" s="34"/>
      <c r="G504" s="33"/>
      <c r="H504" s="34"/>
      <c r="I504" s="35"/>
      <c r="J504" s="36" t="str">
        <f aca="false">IF(OR(C504="",I504=""),"",IF(E504=Pengaturan!$J$19,I504,0))</f>
        <v/>
      </c>
      <c r="K504" s="36" t="str">
        <f aca="false">IF(OR(C504="",I504=""),"",IF(E504=Pengaturan!$J$20,I504,0))</f>
        <v/>
      </c>
      <c r="L504" s="31" t="str">
        <f aca="false">IF(C504="","",MONTH(C504))</f>
        <v/>
      </c>
      <c r="M504" s="34"/>
      <c r="N504" s="34"/>
      <c r="O504" s="34"/>
    </row>
    <row r="505" customFormat="false" ht="15" hidden="false" customHeight="false" outlineLevel="0" collapsed="false">
      <c r="B505" s="31" t="str">
        <f aca="false">IF(C505="","",ROW()-5)</f>
        <v/>
      </c>
      <c r="C505" s="32"/>
      <c r="D505" s="33"/>
      <c r="E505" s="33"/>
      <c r="F505" s="34"/>
      <c r="G505" s="33"/>
      <c r="H505" s="34"/>
      <c r="I505" s="35"/>
      <c r="J505" s="36" t="str">
        <f aca="false">IF(OR(C505="",I505=""),"",IF(E505=Pengaturan!$J$19,I505,0))</f>
        <v/>
      </c>
      <c r="K505" s="36" t="str">
        <f aca="false">IF(OR(C505="",I505=""),"",IF(E505=Pengaturan!$J$20,I505,0))</f>
        <v/>
      </c>
      <c r="L505" s="31" t="str">
        <f aca="false">IF(C505="","",MONTH(C505))</f>
        <v/>
      </c>
      <c r="M505" s="34"/>
      <c r="N505" s="34"/>
      <c r="O505" s="34"/>
    </row>
  </sheetData>
  <autoFilter ref="B5:O505"/>
  <mergeCells count="2">
    <mergeCell ref="B1:O1"/>
    <mergeCell ref="B2:O2"/>
  </mergeCells>
  <conditionalFormatting sqref="E6:E505">
    <cfRule type="cellIs" priority="2" operator="equal" aboveAverage="0" equalAverage="0" bottom="0" percent="0" rank="0" text="" dxfId="2">
      <formula>Pengaturan!$J$19</formula>
    </cfRule>
    <cfRule type="cellIs" priority="3" operator="equal" aboveAverage="0" equalAverage="0" bottom="0" percent="0" rank="0" text="" dxfId="3">
      <formula>Pengaturan!$J$20</formula>
    </cfRule>
  </conditionalFormatting>
  <dataValidations count="6">
    <dataValidation allowBlank="true" error="Masukkan tanggal yang benar, mis. 17/08/2026" errorStyle="stop" errorTitle="Tanggal tidak valid" operator="greaterThan" showDropDown="false" showErrorMessage="true" showInputMessage="false" sqref="C6:C505" type="date">
      <formula1>36526</formula1>
      <formula2>0</formula2>
    </dataValidation>
    <dataValidation allowBlank="true" error="Pilih Pemasukan atau Pengeluaran." errorStyle="stop" errorTitle="Pilih dari daftar" operator="between" showDropDown="false" showErrorMessage="true" showInputMessage="false" sqref="E6:E505" type="list">
      <formula1>DaftarJenis</formula1>
      <formula2>0</formula2>
    </dataValidation>
    <dataValidation allowBlank="true" error="Pilih kategori sesuai jenis transaksi (daftar diatur di sheet Pengaturan)." errorStyle="stop" errorTitle="Pilih dari daftar" operator="between" showDropDown="false" showErrorMessage="true" showInputMessage="false" sqref="F6:F505" type="list">
      <formula1>INDIRECT(IF($E6=Pengaturan!$J$19,"KatMasuk","KatKeluar"))</formula1>
      <formula2>0</formula2>
    </dataValidation>
    <dataValidation allowBlank="true" error="Pilih akun dari daftar." errorStyle="stop" errorTitle="Pilih dari daftar" operator="between" showDropDown="false" showErrorMessage="true" showInputMessage="false" sqref="G6:G505" type="list">
      <formula1>DaftarAkun</formula1>
      <formula2>0</formula2>
    </dataValidation>
    <dataValidation allowBlank="true" error="Pilih event dari daftar (daftarkan dulu di sheet Event) atau kosongkan jika bukan transaksi event." errorStyle="stop" errorTitle="Pilih dari daftar" operator="between" showDropDown="false" showErrorMessage="true" showInputMessage="false" sqref="O6:O505" type="list">
      <formula1>DaftarEvent</formula1>
      <formula2>0</formula2>
    </dataValidation>
    <dataValidation allowBlank="true" error="Isi angka positif (tanpa tanda minus). Jenis transaksi menentukan masuk/keluar." errorStyle="stop" errorTitle="Jumlah tidak valid" operator="greaterThanOrEqual" showDropDown="false" showErrorMessage="true" showInputMessage="false" sqref="I6:I505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0000"/>
    <pageSetUpPr fitToPage="true"/>
  </sheetPr>
  <dimension ref="A1:J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7" min="6" style="0" width="16"/>
    <col collapsed="false" customWidth="true" hidden="false" outlineLevel="0" max="10" min="8" style="0" width="18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1"/>
      <c r="B2" s="3" t="str">
        <f aca="false">"BUKU KAS — otomatis dari sheet Transaksi, saldo berjalan per akun  •  Tahun Buku "&amp;Pengaturan!$C$6</f>
        <v>BUKU KAS — otomatis dari sheet Transaksi, saldo berjalan per akun  •  Tahun Buku 2026</v>
      </c>
      <c r="C2" s="3"/>
      <c r="D2" s="3"/>
      <c r="E2" s="3"/>
      <c r="F2" s="3"/>
      <c r="G2" s="3"/>
      <c r="H2" s="3"/>
      <c r="I2" s="3"/>
      <c r="J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  <c r="G3" s="4"/>
      <c r="H3" s="4"/>
      <c r="I3" s="4"/>
      <c r="J3" s="4"/>
    </row>
    <row r="4" customFormat="false" ht="19.5" hidden="false" customHeight="true" outlineLevel="0" collapsed="false">
      <c r="B4" s="5" t="s">
        <v>155</v>
      </c>
    </row>
    <row r="5" customFormat="false" ht="31.5" hidden="false" customHeight="true" outlineLevel="0" collapsed="false">
      <c r="B5" s="30" t="s">
        <v>13</v>
      </c>
      <c r="C5" s="30" t="s">
        <v>28</v>
      </c>
      <c r="D5" s="30" t="s">
        <v>14</v>
      </c>
      <c r="E5" s="30" t="s">
        <v>30</v>
      </c>
      <c r="F5" s="30" t="s">
        <v>156</v>
      </c>
      <c r="G5" s="30" t="s">
        <v>157</v>
      </c>
      <c r="H5" s="30" t="s">
        <v>158</v>
      </c>
      <c r="I5" s="30" t="s">
        <v>159</v>
      </c>
      <c r="J5" s="30" t="s">
        <v>160</v>
      </c>
    </row>
    <row r="6" customFormat="false" ht="15" hidden="false" customHeight="true" outlineLevel="0" collapsed="false">
      <c r="B6" s="37" t="s">
        <v>161</v>
      </c>
      <c r="C6" s="37"/>
      <c r="D6" s="37"/>
      <c r="E6" s="37"/>
      <c r="F6" s="37"/>
      <c r="G6" s="37"/>
      <c r="H6" s="29" t="n">
        <f aca="false">Pengaturan!$C$10</f>
        <v>10000000</v>
      </c>
      <c r="I6" s="29" t="n">
        <f aca="false">Pengaturan!$C$11</f>
        <v>20000000</v>
      </c>
      <c r="J6" s="29" t="n">
        <f aca="false">H6+I6</f>
        <v>30000000</v>
      </c>
    </row>
    <row r="7" customFormat="false" ht="15" hidden="false" customHeight="false" outlineLevel="0" collapsed="false">
      <c r="B7" s="38" t="n">
        <f aca="false">IF(Transaksi!C6="","",Transaksi!C6)</f>
        <v>46027</v>
      </c>
      <c r="C7" s="39" t="str">
        <f aca="false">IF(Transaksi!C6="","",Transaksi!D6)</f>
        <v>KK-001</v>
      </c>
      <c r="D7" s="40" t="str">
        <f aca="false">IF(Transaksi!C6="","",Transaksi!H6)</f>
        <v>Sewa sekretariat triwulan I</v>
      </c>
      <c r="E7" s="39" t="str">
        <f aca="false">IF(Transaksi!C6="","",Transaksi!G6)</f>
        <v>Bank</v>
      </c>
      <c r="F7" s="36" t="n">
        <f aca="false">IF(Transaksi!C6="","",Transaksi!J6)</f>
        <v>0</v>
      </c>
      <c r="G7" s="36" t="n">
        <f aca="false">IF(Transaksi!C6="","",Transaksi!K6)</f>
        <v>1500000</v>
      </c>
      <c r="H7" s="36" t="n">
        <f aca="false">IF($B7="","",Pengaturan!$C$10+SUMIFS(Transaksi!$J$6:$J6,Transaksi!$G$6:$G6,Pengaturan!$F$19)-SUMIFS(Transaksi!$K$6:$K6,Transaksi!$G$6:$G6,Pengaturan!$F$19))</f>
        <v>10000000</v>
      </c>
      <c r="I7" s="36" t="n">
        <f aca="false">IF($B7="","",Pengaturan!$C$11+SUMIFS(Transaksi!$J$6:$J6,Transaksi!$G$6:$G6,Pengaturan!$F$20)-SUMIFS(Transaksi!$K$6:$K6,Transaksi!$G$6:$G6,Pengaturan!$F$20))</f>
        <v>18500000</v>
      </c>
      <c r="J7" s="41" t="n">
        <f aca="false">IF($B7="","",H7+I7)</f>
        <v>28500000</v>
      </c>
    </row>
    <row r="8" customFormat="false" ht="15" hidden="false" customHeight="false" outlineLevel="0" collapsed="false">
      <c r="B8" s="38" t="n">
        <f aca="false">IF(Transaksi!C7="","",Transaksi!C7)</f>
        <v>46032</v>
      </c>
      <c r="C8" s="39" t="str">
        <f aca="false">IF(Transaksi!C7="","",Transaksi!D7)</f>
        <v>KM-001</v>
      </c>
      <c r="D8" s="40" t="str">
        <f aca="false">IF(Transaksi!C7="","",Transaksi!H7)</f>
        <v>Donasi Bapak H. Santoso untuk seminar</v>
      </c>
      <c r="E8" s="39" t="str">
        <f aca="false">IF(Transaksi!C7="","",Transaksi!G7)</f>
        <v>Bank</v>
      </c>
      <c r="F8" s="36" t="n">
        <f aca="false">IF(Transaksi!C7="","",Transaksi!J7)</f>
        <v>2000000</v>
      </c>
      <c r="G8" s="36" t="n">
        <f aca="false">IF(Transaksi!C7="","",Transaksi!K7)</f>
        <v>0</v>
      </c>
      <c r="H8" s="36" t="n">
        <f aca="false">IF($B8="","",Pengaturan!$C$10+SUMIFS(Transaksi!$J$6:$J7,Transaksi!$G$6:$G7,Pengaturan!$F$19)-SUMIFS(Transaksi!$K$6:$K7,Transaksi!$G$6:$G7,Pengaturan!$F$19))</f>
        <v>10000000</v>
      </c>
      <c r="I8" s="36" t="n">
        <f aca="false">IF($B8="","",Pengaturan!$C$11+SUMIFS(Transaksi!$J$6:$J7,Transaksi!$G$6:$G7,Pengaturan!$F$20)-SUMIFS(Transaksi!$K$6:$K7,Transaksi!$G$6:$G7,Pengaturan!$F$20))</f>
        <v>20500000</v>
      </c>
      <c r="J8" s="41" t="n">
        <f aca="false">IF($B8="","",H8+I8)</f>
        <v>30500000</v>
      </c>
    </row>
    <row r="9" customFormat="false" ht="15" hidden="false" customHeight="false" outlineLevel="0" collapsed="false">
      <c r="B9" s="38" t="n">
        <f aca="false">IF(Transaksi!C8="","",Transaksi!C8)</f>
        <v>46034</v>
      </c>
      <c r="C9" s="39" t="str">
        <f aca="false">IF(Transaksi!C8="","",Transaksi!D8)</f>
        <v>KK-002</v>
      </c>
      <c r="D9" s="40" t="str">
        <f aca="false">IF(Transaksi!C8="","",Transaksi!H8)</f>
        <v>Cetak kartu anggota</v>
      </c>
      <c r="E9" s="39" t="str">
        <f aca="false">IF(Transaksi!C8="","",Transaksi!G8)</f>
        <v>Kas Tunai</v>
      </c>
      <c r="F9" s="36" t="n">
        <f aca="false">IF(Transaksi!C8="","",Transaksi!J8)</f>
        <v>0</v>
      </c>
      <c r="G9" s="36" t="n">
        <f aca="false">IF(Transaksi!C8="","",Transaksi!K8)</f>
        <v>450000</v>
      </c>
      <c r="H9" s="36" t="n">
        <f aca="false">IF($B9="","",Pengaturan!$C$10+SUMIFS(Transaksi!$J$6:$J8,Transaksi!$G$6:$G8,Pengaturan!$F$19)-SUMIFS(Transaksi!$K$6:$K8,Transaksi!$G$6:$G8,Pengaturan!$F$19))</f>
        <v>9550000</v>
      </c>
      <c r="I9" s="36" t="n">
        <f aca="false">IF($B9="","",Pengaturan!$C$11+SUMIFS(Transaksi!$J$6:$J8,Transaksi!$G$6:$G8,Pengaturan!$F$20)-SUMIFS(Transaksi!$K$6:$K8,Transaksi!$G$6:$G8,Pengaturan!$F$20))</f>
        <v>20500000</v>
      </c>
      <c r="J9" s="41" t="n">
        <f aca="false">IF($B9="","",H9+I9)</f>
        <v>30050000</v>
      </c>
    </row>
    <row r="10" customFormat="false" ht="15" hidden="false" customHeight="false" outlineLevel="0" collapsed="false">
      <c r="B10" s="38" t="n">
        <f aca="false">IF(Transaksi!C9="","",Transaksi!C9)</f>
        <v>46047</v>
      </c>
      <c r="C10" s="39" t="str">
        <f aca="false">IF(Transaksi!C9="","",Transaksi!D9)</f>
        <v>KK-003</v>
      </c>
      <c r="D10" s="40" t="str">
        <f aca="false">IF(Transaksi!C9="","",Transaksi!H9)</f>
        <v>Konsumsi rapat kerja awal tahun</v>
      </c>
      <c r="E10" s="39" t="str">
        <f aca="false">IF(Transaksi!C9="","",Transaksi!G9)</f>
        <v>Kas Tunai</v>
      </c>
      <c r="F10" s="36" t="n">
        <f aca="false">IF(Transaksi!C9="","",Transaksi!J9)</f>
        <v>0</v>
      </c>
      <c r="G10" s="36" t="n">
        <f aca="false">IF(Transaksi!C9="","",Transaksi!K9)</f>
        <v>600000</v>
      </c>
      <c r="H10" s="36" t="n">
        <f aca="false">IF($B10="","",Pengaturan!$C$10+SUMIFS(Transaksi!$J$6:$J9,Transaksi!$G$6:$G9,Pengaturan!$F$19)-SUMIFS(Transaksi!$K$6:$K9,Transaksi!$G$6:$G9,Pengaturan!$F$19))</f>
        <v>8950000</v>
      </c>
      <c r="I10" s="36" t="n">
        <f aca="false">IF($B10="","",Pengaturan!$C$11+SUMIFS(Transaksi!$J$6:$J9,Transaksi!$G$6:$G9,Pengaturan!$F$20)-SUMIFS(Transaksi!$K$6:$K9,Transaksi!$G$6:$G9,Pengaturan!$F$20))</f>
        <v>20500000</v>
      </c>
      <c r="J10" s="41" t="n">
        <f aca="false">IF($B10="","",H10+I10)</f>
        <v>29450000</v>
      </c>
    </row>
    <row r="11" customFormat="false" ht="15" hidden="false" customHeight="false" outlineLevel="0" collapsed="false">
      <c r="B11" s="38" t="n">
        <f aca="false">IF(Transaksi!C10="","",Transaksi!C10)</f>
        <v>46050</v>
      </c>
      <c r="C11" s="39" t="str">
        <f aca="false">IF(Transaksi!C10="","",Transaksi!D10)</f>
        <v>KK-004</v>
      </c>
      <c r="D11" s="40" t="str">
        <f aca="false">IF(Transaksi!C10="","",Transaksi!H10)</f>
        <v>Biaya administrasi bank Januari</v>
      </c>
      <c r="E11" s="39" t="str">
        <f aca="false">IF(Transaksi!C10="","",Transaksi!G10)</f>
        <v>Bank</v>
      </c>
      <c r="F11" s="36" t="n">
        <f aca="false">IF(Transaksi!C10="","",Transaksi!J10)</f>
        <v>0</v>
      </c>
      <c r="G11" s="36" t="n">
        <f aca="false">IF(Transaksi!C10="","",Transaksi!K10)</f>
        <v>15000</v>
      </c>
      <c r="H11" s="36" t="n">
        <f aca="false">IF($B11="","",Pengaturan!$C$10+SUMIFS(Transaksi!$J$6:$J10,Transaksi!$G$6:$G10,Pengaturan!$F$19)-SUMIFS(Transaksi!$K$6:$K10,Transaksi!$G$6:$G10,Pengaturan!$F$19))</f>
        <v>8950000</v>
      </c>
      <c r="I11" s="36" t="n">
        <f aca="false">IF($B11="","",Pengaturan!$C$11+SUMIFS(Transaksi!$J$6:$J10,Transaksi!$G$6:$G10,Pengaturan!$F$20)-SUMIFS(Transaksi!$K$6:$K10,Transaksi!$G$6:$G10,Pengaturan!$F$20))</f>
        <v>20485000</v>
      </c>
      <c r="J11" s="41" t="n">
        <f aca="false">IF($B11="","",H11+I11)</f>
        <v>29435000</v>
      </c>
    </row>
    <row r="12" customFormat="false" ht="15" hidden="false" customHeight="false" outlineLevel="0" collapsed="false">
      <c r="B12" s="38" t="n">
        <f aca="false">IF(Transaksi!C11="","",Transaksi!C11)</f>
        <v>46065</v>
      </c>
      <c r="C12" s="39" t="str">
        <f aca="false">IF(Transaksi!C11="","",Transaksi!D11)</f>
        <v>KM-002</v>
      </c>
      <c r="D12" s="40" t="str">
        <f aca="false">IF(Transaksi!C11="","",Transaksi!H11)</f>
        <v>Pendaftaran peserta seminar</v>
      </c>
      <c r="E12" s="39" t="str">
        <f aca="false">IF(Transaksi!C11="","",Transaksi!G11)</f>
        <v>Bank</v>
      </c>
      <c r="F12" s="36" t="n">
        <f aca="false">IF(Transaksi!C11="","",Transaksi!J11)</f>
        <v>3500000</v>
      </c>
      <c r="G12" s="36" t="n">
        <f aca="false">IF(Transaksi!C11="","",Transaksi!K11)</f>
        <v>0</v>
      </c>
      <c r="H12" s="36" t="n">
        <f aca="false">IF($B12="","",Pengaturan!$C$10+SUMIFS(Transaksi!$J$6:$J11,Transaksi!$G$6:$G11,Pengaturan!$F$19)-SUMIFS(Transaksi!$K$6:$K11,Transaksi!$G$6:$G11,Pengaturan!$F$19))</f>
        <v>8950000</v>
      </c>
      <c r="I12" s="36" t="n">
        <f aca="false">IF($B12="","",Pengaturan!$C$11+SUMIFS(Transaksi!$J$6:$J11,Transaksi!$G$6:$G11,Pengaturan!$F$20)-SUMIFS(Transaksi!$K$6:$K11,Transaksi!$G$6:$G11,Pengaturan!$F$20))</f>
        <v>23985000</v>
      </c>
      <c r="J12" s="41" t="n">
        <f aca="false">IF($B12="","",H12+I12)</f>
        <v>32935000</v>
      </c>
    </row>
    <row r="13" customFormat="false" ht="15" hidden="false" customHeight="false" outlineLevel="0" collapsed="false">
      <c r="B13" s="38" t="n">
        <f aca="false">IF(Transaksi!C12="","",Transaksi!C12)</f>
        <v>46068</v>
      </c>
      <c r="C13" s="39" t="str">
        <f aca="false">IF(Transaksi!C12="","",Transaksi!D12)</f>
        <v>KM-003</v>
      </c>
      <c r="D13" s="40" t="str">
        <f aca="false">IF(Transaksi!C12="","",Transaksi!H12)</f>
        <v>Sponsor seminar dari CV Maju Jaya</v>
      </c>
      <c r="E13" s="39" t="str">
        <f aca="false">IF(Transaksi!C12="","",Transaksi!G12)</f>
        <v>Bank</v>
      </c>
      <c r="F13" s="36" t="n">
        <f aca="false">IF(Transaksi!C12="","",Transaksi!J12)</f>
        <v>5000000</v>
      </c>
      <c r="G13" s="36" t="n">
        <f aca="false">IF(Transaksi!C12="","",Transaksi!K12)</f>
        <v>0</v>
      </c>
      <c r="H13" s="36" t="n">
        <f aca="false">IF($B13="","",Pengaturan!$C$10+SUMIFS(Transaksi!$J$6:$J12,Transaksi!$G$6:$G12,Pengaturan!$F$19)-SUMIFS(Transaksi!$K$6:$K12,Transaksi!$G$6:$G12,Pengaturan!$F$19))</f>
        <v>8950000</v>
      </c>
      <c r="I13" s="36" t="n">
        <f aca="false">IF($B13="","",Pengaturan!$C$11+SUMIFS(Transaksi!$J$6:$J12,Transaksi!$G$6:$G12,Pengaturan!$F$20)-SUMIFS(Transaksi!$K$6:$K12,Transaksi!$G$6:$G12,Pengaturan!$F$20))</f>
        <v>28985000</v>
      </c>
      <c r="J13" s="41" t="n">
        <f aca="false">IF($B13="","",H13+I13)</f>
        <v>37935000</v>
      </c>
    </row>
    <row r="14" customFormat="false" ht="15" hidden="false" customHeight="false" outlineLevel="0" collapsed="false">
      <c r="B14" s="38" t="n">
        <f aca="false">IF(Transaksi!C13="","",Transaksi!C13)</f>
        <v>46073</v>
      </c>
      <c r="C14" s="39" t="str">
        <f aca="false">IF(Transaksi!C13="","",Transaksi!D13)</f>
        <v>KK-005</v>
      </c>
      <c r="D14" s="40" t="str">
        <f aca="false">IF(Transaksi!C13="","",Transaksi!H13)</f>
        <v>Penyelenggaraan seminar</v>
      </c>
      <c r="E14" s="39" t="str">
        <f aca="false">IF(Transaksi!C13="","",Transaksi!G13)</f>
        <v>Bank</v>
      </c>
      <c r="F14" s="36" t="n">
        <f aca="false">IF(Transaksi!C13="","",Transaksi!J13)</f>
        <v>0</v>
      </c>
      <c r="G14" s="36" t="n">
        <f aca="false">IF(Transaksi!C13="","",Transaksi!K13)</f>
        <v>6500000</v>
      </c>
      <c r="H14" s="36" t="n">
        <f aca="false">IF($B14="","",Pengaturan!$C$10+SUMIFS(Transaksi!$J$6:$J13,Transaksi!$G$6:$G13,Pengaturan!$F$19)-SUMIFS(Transaksi!$K$6:$K13,Transaksi!$G$6:$G13,Pengaturan!$F$19))</f>
        <v>8950000</v>
      </c>
      <c r="I14" s="36" t="n">
        <f aca="false">IF($B14="","",Pengaturan!$C$11+SUMIFS(Transaksi!$J$6:$J13,Transaksi!$G$6:$G13,Pengaturan!$F$20)-SUMIFS(Transaksi!$K$6:$K13,Transaksi!$G$6:$G13,Pengaturan!$F$20))</f>
        <v>22485000</v>
      </c>
      <c r="J14" s="41" t="n">
        <f aca="false">IF($B14="","",H14+I14)</f>
        <v>31435000</v>
      </c>
    </row>
    <row r="15" customFormat="false" ht="15" hidden="false" customHeight="false" outlineLevel="0" collapsed="false">
      <c r="B15" s="38" t="n">
        <f aca="false">IF(Transaksi!C14="","",Transaksi!C14)</f>
        <v>46081</v>
      </c>
      <c r="C15" s="39" t="str">
        <f aca="false">IF(Transaksi!C14="","",Transaksi!D14)</f>
        <v>KK-006</v>
      </c>
      <c r="D15" s="40" t="str">
        <f aca="false">IF(Transaksi!C14="","",Transaksi!H14)</f>
        <v>Biaya administrasi bank Februari</v>
      </c>
      <c r="E15" s="39" t="str">
        <f aca="false">IF(Transaksi!C14="","",Transaksi!G14)</f>
        <v>Bank</v>
      </c>
      <c r="F15" s="36" t="n">
        <f aca="false">IF(Transaksi!C14="","",Transaksi!J14)</f>
        <v>0</v>
      </c>
      <c r="G15" s="36" t="n">
        <f aca="false">IF(Transaksi!C14="","",Transaksi!K14)</f>
        <v>15000</v>
      </c>
      <c r="H15" s="36" t="n">
        <f aca="false">IF($B15="","",Pengaturan!$C$10+SUMIFS(Transaksi!$J$6:$J14,Transaksi!$G$6:$G14,Pengaturan!$F$19)-SUMIFS(Transaksi!$K$6:$K14,Transaksi!$G$6:$G14,Pengaturan!$F$19))</f>
        <v>8950000</v>
      </c>
      <c r="I15" s="36" t="n">
        <f aca="false">IF($B15="","",Pengaturan!$C$11+SUMIFS(Transaksi!$J$6:$J14,Transaksi!$G$6:$G14,Pengaturan!$F$20)-SUMIFS(Transaksi!$K$6:$K14,Transaksi!$G$6:$G14,Pengaturan!$F$20))</f>
        <v>22470000</v>
      </c>
      <c r="J15" s="41" t="n">
        <f aca="false">IF($B15="","",H15+I15)</f>
        <v>31420000</v>
      </c>
    </row>
    <row r="16" customFormat="false" ht="15" hidden="false" customHeight="false" outlineLevel="0" collapsed="false">
      <c r="B16" s="38" t="n">
        <f aca="false">IF(Transaksi!C15="","",Transaksi!C15)</f>
        <v>46095</v>
      </c>
      <c r="C16" s="39" t="str">
        <f aca="false">IF(Transaksi!C15="","",Transaksi!D15)</f>
        <v>KM-004</v>
      </c>
      <c r="D16" s="40" t="str">
        <f aca="false">IF(Transaksi!C15="","",Transaksi!H15)</f>
        <v>Hasil bazar kuliner Ramadan</v>
      </c>
      <c r="E16" s="39" t="str">
        <f aca="false">IF(Transaksi!C15="","",Transaksi!G15)</f>
        <v>Kas Tunai</v>
      </c>
      <c r="F16" s="36" t="n">
        <f aca="false">IF(Transaksi!C15="","",Transaksi!J15)</f>
        <v>3200000</v>
      </c>
      <c r="G16" s="36" t="n">
        <f aca="false">IF(Transaksi!C15="","",Transaksi!K15)</f>
        <v>0</v>
      </c>
      <c r="H16" s="36" t="n">
        <f aca="false">IF($B16="","",Pengaturan!$C$10+SUMIFS(Transaksi!$J$6:$J15,Transaksi!$G$6:$G15,Pengaturan!$F$19)-SUMIFS(Transaksi!$K$6:$K15,Transaksi!$G$6:$G15,Pengaturan!$F$19))</f>
        <v>12150000</v>
      </c>
      <c r="I16" s="36" t="n">
        <f aca="false">IF($B16="","",Pengaturan!$C$11+SUMIFS(Transaksi!$J$6:$J15,Transaksi!$G$6:$G15,Pengaturan!$F$20)-SUMIFS(Transaksi!$K$6:$K15,Transaksi!$G$6:$G15,Pengaturan!$F$20))</f>
        <v>22470000</v>
      </c>
      <c r="J16" s="41" t="n">
        <f aca="false">IF($B16="","",H16+I16)</f>
        <v>34620000</v>
      </c>
    </row>
    <row r="17" customFormat="false" ht="15" hidden="false" customHeight="false" outlineLevel="0" collapsed="false">
      <c r="B17" s="38" t="n">
        <f aca="false">IF(Transaksi!C16="","",Transaksi!C16)</f>
        <v>46096</v>
      </c>
      <c r="C17" s="39" t="str">
        <f aca="false">IF(Transaksi!C16="","",Transaksi!D16)</f>
        <v>KK-007</v>
      </c>
      <c r="D17" s="40" t="str">
        <f aca="false">IF(Transaksi!C16="","",Transaksi!H16)</f>
        <v>Buka puasa bersama anggota</v>
      </c>
      <c r="E17" s="39" t="str">
        <f aca="false">IF(Transaksi!C16="","",Transaksi!G16)</f>
        <v>Kas Tunai</v>
      </c>
      <c r="F17" s="36" t="n">
        <f aca="false">IF(Transaksi!C16="","",Transaksi!J16)</f>
        <v>0</v>
      </c>
      <c r="G17" s="36" t="n">
        <f aca="false">IF(Transaksi!C16="","",Transaksi!K16)</f>
        <v>1200000</v>
      </c>
      <c r="H17" s="36" t="n">
        <f aca="false">IF($B17="","",Pengaturan!$C$10+SUMIFS(Transaksi!$J$6:$J16,Transaksi!$G$6:$G16,Pengaturan!$F$19)-SUMIFS(Transaksi!$K$6:$K16,Transaksi!$G$6:$G16,Pengaturan!$F$19))</f>
        <v>10950000</v>
      </c>
      <c r="I17" s="36" t="n">
        <f aca="false">IF($B17="","",Pengaturan!$C$11+SUMIFS(Transaksi!$J$6:$J16,Transaksi!$G$6:$G16,Pengaturan!$F$20)-SUMIFS(Transaksi!$K$6:$K16,Transaksi!$G$6:$G16,Pengaturan!$F$20))</f>
        <v>22470000</v>
      </c>
      <c r="J17" s="41" t="n">
        <f aca="false">IF($B17="","",H17+I17)</f>
        <v>33420000</v>
      </c>
    </row>
    <row r="18" customFormat="false" ht="15" hidden="false" customHeight="false" outlineLevel="0" collapsed="false">
      <c r="B18" s="38" t="n">
        <f aca="false">IF(Transaksi!C17="","",Transaksi!C17)</f>
        <v>46109</v>
      </c>
      <c r="C18" s="39" t="str">
        <f aca="false">IF(Transaksi!C17="","",Transaksi!D17)</f>
        <v>KK-008</v>
      </c>
      <c r="D18" s="40" t="str">
        <f aca="false">IF(Transaksi!C17="","",Transaksi!H17)</f>
        <v>Biaya administrasi bank Maret</v>
      </c>
      <c r="E18" s="39" t="str">
        <f aca="false">IF(Transaksi!C17="","",Transaksi!G17)</f>
        <v>Bank</v>
      </c>
      <c r="F18" s="36" t="n">
        <f aca="false">IF(Transaksi!C17="","",Transaksi!J17)</f>
        <v>0</v>
      </c>
      <c r="G18" s="36" t="n">
        <f aca="false">IF(Transaksi!C17="","",Transaksi!K17)</f>
        <v>15000</v>
      </c>
      <c r="H18" s="36" t="n">
        <f aca="false">IF($B18="","",Pengaturan!$C$10+SUMIFS(Transaksi!$J$6:$J17,Transaksi!$G$6:$G17,Pengaturan!$F$19)-SUMIFS(Transaksi!$K$6:$K17,Transaksi!$G$6:$G17,Pengaturan!$F$19))</f>
        <v>10950000</v>
      </c>
      <c r="I18" s="36" t="n">
        <f aca="false">IF($B18="","",Pengaturan!$C$11+SUMIFS(Transaksi!$J$6:$J17,Transaksi!$G$6:$G17,Pengaturan!$F$20)-SUMIFS(Transaksi!$K$6:$K17,Transaksi!$G$6:$G17,Pengaturan!$F$20))</f>
        <v>22455000</v>
      </c>
      <c r="J18" s="41" t="n">
        <f aca="false">IF($B18="","",H18+I18)</f>
        <v>33405000</v>
      </c>
    </row>
    <row r="19" customFormat="false" ht="15" hidden="false" customHeight="false" outlineLevel="0" collapsed="false">
      <c r="B19" s="38" t="n">
        <f aca="false">IF(Transaksi!C18="","",Transaksi!C18)</f>
        <v>46112</v>
      </c>
      <c r="C19" s="39" t="str">
        <f aca="false">IF(Transaksi!C18="","",Transaksi!D18)</f>
        <v>KM-005</v>
      </c>
      <c r="D19" s="40" t="str">
        <f aca="false">IF(Transaksi!C18="","",Transaksi!H18)</f>
        <v>Bunga tabungan triwulan I</v>
      </c>
      <c r="E19" s="39" t="str">
        <f aca="false">IF(Transaksi!C18="","",Transaksi!G18)</f>
        <v>Bank</v>
      </c>
      <c r="F19" s="36" t="n">
        <f aca="false">IF(Transaksi!C18="","",Transaksi!J18)</f>
        <v>45000</v>
      </c>
      <c r="G19" s="36" t="n">
        <f aca="false">IF(Transaksi!C18="","",Transaksi!K18)</f>
        <v>0</v>
      </c>
      <c r="H19" s="36" t="n">
        <f aca="false">IF($B19="","",Pengaturan!$C$10+SUMIFS(Transaksi!$J$6:$J18,Transaksi!$G$6:$G18,Pengaturan!$F$19)-SUMIFS(Transaksi!$K$6:$K18,Transaksi!$G$6:$G18,Pengaturan!$F$19))</f>
        <v>10950000</v>
      </c>
      <c r="I19" s="36" t="n">
        <f aca="false">IF($B19="","",Pengaturan!$C$11+SUMIFS(Transaksi!$J$6:$J18,Transaksi!$G$6:$G18,Pengaturan!$F$20)-SUMIFS(Transaksi!$K$6:$K18,Transaksi!$G$6:$G18,Pengaturan!$F$20))</f>
        <v>22500000</v>
      </c>
      <c r="J19" s="41" t="n">
        <f aca="false">IF($B19="","",H19+I19)</f>
        <v>33450000</v>
      </c>
    </row>
    <row r="20" customFormat="false" ht="15" hidden="false" customHeight="false" outlineLevel="0" collapsed="false">
      <c r="B20" s="38" t="n">
        <f aca="false">IF(Transaksi!C19="","",Transaksi!C19)</f>
        <v>46117</v>
      </c>
      <c r="C20" s="39" t="str">
        <f aca="false">IF(Transaksi!C19="","",Transaksi!D19)</f>
        <v>KK-009</v>
      </c>
      <c r="D20" s="40" t="str">
        <f aca="false">IF(Transaksi!C19="","",Transaksi!H19)</f>
        <v>Sewa sekretariat triwulan II</v>
      </c>
      <c r="E20" s="39" t="str">
        <f aca="false">IF(Transaksi!C19="","",Transaksi!G19)</f>
        <v>Bank</v>
      </c>
      <c r="F20" s="36" t="n">
        <f aca="false">IF(Transaksi!C19="","",Transaksi!J19)</f>
        <v>0</v>
      </c>
      <c r="G20" s="36" t="n">
        <f aca="false">IF(Transaksi!C19="","",Transaksi!K19)</f>
        <v>1500000</v>
      </c>
      <c r="H20" s="36" t="n">
        <f aca="false">IF($B20="","",Pengaturan!$C$10+SUMIFS(Transaksi!$J$6:$J19,Transaksi!$G$6:$G19,Pengaturan!$F$19)-SUMIFS(Transaksi!$K$6:$K19,Transaksi!$G$6:$G19,Pengaturan!$F$19))</f>
        <v>10950000</v>
      </c>
      <c r="I20" s="36" t="n">
        <f aca="false">IF($B20="","",Pengaturan!$C$11+SUMIFS(Transaksi!$J$6:$J19,Transaksi!$G$6:$G19,Pengaturan!$F$20)-SUMIFS(Transaksi!$K$6:$K19,Transaksi!$G$6:$G19,Pengaturan!$F$20))</f>
        <v>21000000</v>
      </c>
      <c r="J20" s="41" t="n">
        <f aca="false">IF($B20="","",H20+I20)</f>
        <v>31950000</v>
      </c>
    </row>
    <row r="21" customFormat="false" ht="15" hidden="false" customHeight="false" outlineLevel="0" collapsed="false">
      <c r="B21" s="38" t="n">
        <f aca="false">IF(Transaksi!C20="","",Transaksi!C20)</f>
        <v>46134</v>
      </c>
      <c r="C21" s="39" t="str">
        <f aca="false">IF(Transaksi!C20="","",Transaksi!D20)</f>
        <v>KK-010</v>
      </c>
      <c r="D21" s="40" t="str">
        <f aca="false">IF(Transaksi!C20="","",Transaksi!H20)</f>
        <v>Santunan anak yatim</v>
      </c>
      <c r="E21" s="39" t="str">
        <f aca="false">IF(Transaksi!C20="","",Transaksi!G20)</f>
        <v>Kas Tunai</v>
      </c>
      <c r="F21" s="36" t="n">
        <f aca="false">IF(Transaksi!C20="","",Transaksi!J20)</f>
        <v>0</v>
      </c>
      <c r="G21" s="36" t="n">
        <f aca="false">IF(Transaksi!C20="","",Transaksi!K20)</f>
        <v>2000000</v>
      </c>
      <c r="H21" s="36" t="n">
        <f aca="false">IF($B21="","",Pengaturan!$C$10+SUMIFS(Transaksi!$J$6:$J20,Transaksi!$G$6:$G20,Pengaturan!$F$19)-SUMIFS(Transaksi!$K$6:$K20,Transaksi!$G$6:$G20,Pengaturan!$F$19))</f>
        <v>8950000</v>
      </c>
      <c r="I21" s="36" t="n">
        <f aca="false">IF($B21="","",Pengaturan!$C$11+SUMIFS(Transaksi!$J$6:$J20,Transaksi!$G$6:$G20,Pengaturan!$F$20)-SUMIFS(Transaksi!$K$6:$K20,Transaksi!$G$6:$G20,Pengaturan!$F$20))</f>
        <v>21000000</v>
      </c>
      <c r="J21" s="41" t="n">
        <f aca="false">IF($B21="","",H21+I21)</f>
        <v>29950000</v>
      </c>
    </row>
    <row r="22" customFormat="false" ht="15" hidden="false" customHeight="false" outlineLevel="0" collapsed="false">
      <c r="B22" s="38" t="n">
        <f aca="false">IF(Transaksi!C21="","",Transaksi!C21)</f>
        <v>46140</v>
      </c>
      <c r="C22" s="39" t="str">
        <f aca="false">IF(Transaksi!C21="","",Transaksi!D21)</f>
        <v>KK-011</v>
      </c>
      <c r="D22" s="40" t="str">
        <f aca="false">IF(Transaksi!C21="","",Transaksi!H21)</f>
        <v>Biaya administrasi bank April</v>
      </c>
      <c r="E22" s="39" t="str">
        <f aca="false">IF(Transaksi!C21="","",Transaksi!G21)</f>
        <v>Bank</v>
      </c>
      <c r="F22" s="36" t="n">
        <f aca="false">IF(Transaksi!C21="","",Transaksi!J21)</f>
        <v>0</v>
      </c>
      <c r="G22" s="36" t="n">
        <f aca="false">IF(Transaksi!C21="","",Transaksi!K21)</f>
        <v>15000</v>
      </c>
      <c r="H22" s="36" t="n">
        <f aca="false">IF($B22="","",Pengaturan!$C$10+SUMIFS(Transaksi!$J$6:$J21,Transaksi!$G$6:$G21,Pengaturan!$F$19)-SUMIFS(Transaksi!$K$6:$K21,Transaksi!$G$6:$G21,Pengaturan!$F$19))</f>
        <v>8950000</v>
      </c>
      <c r="I22" s="36" t="n">
        <f aca="false">IF($B22="","",Pengaturan!$C$11+SUMIFS(Transaksi!$J$6:$J21,Transaksi!$G$6:$G21,Pengaturan!$F$20)-SUMIFS(Transaksi!$K$6:$K21,Transaksi!$G$6:$G21,Pengaturan!$F$20))</f>
        <v>20985000</v>
      </c>
      <c r="J22" s="41" t="n">
        <f aca="false">IF($B22="","",H22+I22)</f>
        <v>29935000</v>
      </c>
    </row>
    <row r="23" customFormat="false" ht="15" hidden="false" customHeight="false" outlineLevel="0" collapsed="false">
      <c r="B23" s="38" t="n">
        <f aca="false">IF(Transaksi!C22="","",Transaksi!C22)</f>
        <v>46152</v>
      </c>
      <c r="C23" s="39" t="str">
        <f aca="false">IF(Transaksi!C22="","",Transaksi!D22)</f>
        <v>KK-012</v>
      </c>
      <c r="D23" s="40" t="str">
        <f aca="false">IF(Transaksi!C22="","",Transaksi!H22)</f>
        <v>Transport koordinasi pengurus</v>
      </c>
      <c r="E23" s="39" t="str">
        <f aca="false">IF(Transaksi!C22="","",Transaksi!G22)</f>
        <v>Kas Tunai</v>
      </c>
      <c r="F23" s="36" t="n">
        <f aca="false">IF(Transaksi!C22="","",Transaksi!J22)</f>
        <v>0</v>
      </c>
      <c r="G23" s="36" t="n">
        <f aca="false">IF(Transaksi!C22="","",Transaksi!K22)</f>
        <v>350000</v>
      </c>
      <c r="H23" s="36" t="n">
        <f aca="false">IF($B23="","",Pengaturan!$C$10+SUMIFS(Transaksi!$J$6:$J22,Transaksi!$G$6:$G22,Pengaturan!$F$19)-SUMIFS(Transaksi!$K$6:$K22,Transaksi!$G$6:$G22,Pengaturan!$F$19))</f>
        <v>8600000</v>
      </c>
      <c r="I23" s="36" t="n">
        <f aca="false">IF($B23="","",Pengaturan!$C$11+SUMIFS(Transaksi!$J$6:$J22,Transaksi!$G$6:$G22,Pengaturan!$F$20)-SUMIFS(Transaksi!$K$6:$K22,Transaksi!$G$6:$G22,Pengaturan!$F$20))</f>
        <v>20985000</v>
      </c>
      <c r="J23" s="41" t="n">
        <f aca="false">IF($B23="","",H23+I23)</f>
        <v>29585000</v>
      </c>
    </row>
    <row r="24" customFormat="false" ht="15" hidden="false" customHeight="false" outlineLevel="0" collapsed="false">
      <c r="B24" s="38" t="n">
        <f aca="false">IF(Transaksi!C23="","",Transaksi!C23)</f>
        <v>46170</v>
      </c>
      <c r="C24" s="39" t="str">
        <f aca="false">IF(Transaksi!C23="","",Transaksi!D23)</f>
        <v>KK-013</v>
      </c>
      <c r="D24" s="40" t="str">
        <f aca="false">IF(Transaksi!C23="","",Transaksi!H23)</f>
        <v>Biaya administrasi bank Mei</v>
      </c>
      <c r="E24" s="39" t="str">
        <f aca="false">IF(Transaksi!C23="","",Transaksi!G23)</f>
        <v>Bank</v>
      </c>
      <c r="F24" s="36" t="n">
        <f aca="false">IF(Transaksi!C23="","",Transaksi!J23)</f>
        <v>0</v>
      </c>
      <c r="G24" s="36" t="n">
        <f aca="false">IF(Transaksi!C23="","",Transaksi!K23)</f>
        <v>15000</v>
      </c>
      <c r="H24" s="36" t="n">
        <f aca="false">IF($B24="","",Pengaturan!$C$10+SUMIFS(Transaksi!$J$6:$J23,Transaksi!$G$6:$G23,Pengaturan!$F$19)-SUMIFS(Transaksi!$K$6:$K23,Transaksi!$G$6:$G23,Pengaturan!$F$19))</f>
        <v>8600000</v>
      </c>
      <c r="I24" s="36" t="n">
        <f aca="false">IF($B24="","",Pengaturan!$C$11+SUMIFS(Transaksi!$J$6:$J23,Transaksi!$G$6:$G23,Pengaturan!$F$20)-SUMIFS(Transaksi!$K$6:$K23,Transaksi!$G$6:$G23,Pengaturan!$F$20))</f>
        <v>20970000</v>
      </c>
      <c r="J24" s="41" t="n">
        <f aca="false">IF($B24="","",H24+I24)</f>
        <v>29570000</v>
      </c>
    </row>
    <row r="25" customFormat="false" ht="15" hidden="false" customHeight="false" outlineLevel="0" collapsed="false">
      <c r="B25" s="38" t="n">
        <f aca="false">IF(Transaksi!C24="","",Transaksi!C24)</f>
        <v>46181</v>
      </c>
      <c r="C25" s="39" t="str">
        <f aca="false">IF(Transaksi!C24="","",Transaksi!D24)</f>
        <v>KK-014</v>
      </c>
      <c r="D25" s="40" t="str">
        <f aca="false">IF(Transaksi!C24="","",Transaksi!H24)</f>
        <v>Pembelian proyektor</v>
      </c>
      <c r="E25" s="39" t="str">
        <f aca="false">IF(Transaksi!C24="","",Transaksi!G24)</f>
        <v>Bank</v>
      </c>
      <c r="F25" s="36" t="n">
        <f aca="false">IF(Transaksi!C24="","",Transaksi!J24)</f>
        <v>0</v>
      </c>
      <c r="G25" s="36" t="n">
        <f aca="false">IF(Transaksi!C24="","",Transaksi!K24)</f>
        <v>4500000</v>
      </c>
      <c r="H25" s="36" t="n">
        <f aca="false">IF($B25="","",Pengaturan!$C$10+SUMIFS(Transaksi!$J$6:$J24,Transaksi!$G$6:$G24,Pengaturan!$F$19)-SUMIFS(Transaksi!$K$6:$K24,Transaksi!$G$6:$G24,Pengaturan!$F$19))</f>
        <v>8600000</v>
      </c>
      <c r="I25" s="36" t="n">
        <f aca="false">IF($B25="","",Pengaturan!$C$11+SUMIFS(Transaksi!$J$6:$J24,Transaksi!$G$6:$G24,Pengaturan!$F$20)-SUMIFS(Transaksi!$K$6:$K24,Transaksi!$G$6:$G24,Pengaturan!$F$20))</f>
        <v>16470000</v>
      </c>
      <c r="J25" s="41" t="n">
        <f aca="false">IF($B25="","",H25+I25)</f>
        <v>25070000</v>
      </c>
    </row>
    <row r="26" customFormat="false" ht="15" hidden="false" customHeight="false" outlineLevel="0" collapsed="false">
      <c r="B26" s="38" t="n">
        <f aca="false">IF(Transaksi!C25="","",Transaksi!C25)</f>
        <v>46183</v>
      </c>
      <c r="C26" s="39" t="str">
        <f aca="false">IF(Transaksi!C25="","",Transaksi!D25)</f>
        <v>KM-006</v>
      </c>
      <c r="D26" s="40" t="str">
        <f aca="false">IF(Transaksi!C25="","",Transaksi!H25)</f>
        <v>Bantuan dana kegiatan organisasi</v>
      </c>
      <c r="E26" s="39" t="str">
        <f aca="false">IF(Transaksi!C25="","",Transaksi!G25)</f>
        <v>Bank</v>
      </c>
      <c r="F26" s="36" t="n">
        <f aca="false">IF(Transaksi!C25="","",Transaksi!J25)</f>
        <v>4000000</v>
      </c>
      <c r="G26" s="36" t="n">
        <f aca="false">IF(Transaksi!C25="","",Transaksi!K25)</f>
        <v>0</v>
      </c>
      <c r="H26" s="36" t="n">
        <f aca="false">IF($B26="","",Pengaturan!$C$10+SUMIFS(Transaksi!$J$6:$J25,Transaksi!$G$6:$G25,Pengaturan!$F$19)-SUMIFS(Transaksi!$K$6:$K25,Transaksi!$G$6:$G25,Pengaturan!$F$19))</f>
        <v>8600000</v>
      </c>
      <c r="I26" s="36" t="n">
        <f aca="false">IF($B26="","",Pengaturan!$C$11+SUMIFS(Transaksi!$J$6:$J25,Transaksi!$G$6:$G25,Pengaturan!$F$20)-SUMIFS(Transaksi!$K$6:$K25,Transaksi!$G$6:$G25,Pengaturan!$F$20))</f>
        <v>20470000</v>
      </c>
      <c r="J26" s="41" t="n">
        <f aca="false">IF($B26="","",H26+I26)</f>
        <v>29070000</v>
      </c>
    </row>
    <row r="27" customFormat="false" ht="15" hidden="false" customHeight="false" outlineLevel="0" collapsed="false">
      <c r="B27" s="38" t="n">
        <f aca="false">IF(Transaksi!C26="","",Transaksi!C26)</f>
        <v>46193</v>
      </c>
      <c r="C27" s="39" t="str">
        <f aca="false">IF(Transaksi!C26="","",Transaksi!D26)</f>
        <v>KM-007</v>
      </c>
      <c r="D27" s="40" t="str">
        <f aca="false">IF(Transaksi!C26="","",Transaksi!H26)</f>
        <v>Pendaftaran peserta pelatihan</v>
      </c>
      <c r="E27" s="39" t="str">
        <f aca="false">IF(Transaksi!C26="","",Transaksi!G26)</f>
        <v>Bank</v>
      </c>
      <c r="F27" s="36" t="n">
        <f aca="false">IF(Transaksi!C26="","",Transaksi!J26)</f>
        <v>1500000</v>
      </c>
      <c r="G27" s="36" t="n">
        <f aca="false">IF(Transaksi!C26="","",Transaksi!K26)</f>
        <v>0</v>
      </c>
      <c r="H27" s="36" t="n">
        <f aca="false">IF($B27="","",Pengaturan!$C$10+SUMIFS(Transaksi!$J$6:$J26,Transaksi!$G$6:$G26,Pengaturan!$F$19)-SUMIFS(Transaksi!$K$6:$K26,Transaksi!$G$6:$G26,Pengaturan!$F$19))</f>
        <v>8600000</v>
      </c>
      <c r="I27" s="36" t="n">
        <f aca="false">IF($B27="","",Pengaturan!$C$11+SUMIFS(Transaksi!$J$6:$J26,Transaksi!$G$6:$G26,Pengaturan!$F$20)-SUMIFS(Transaksi!$K$6:$K26,Transaksi!$G$6:$G26,Pengaturan!$F$20))</f>
        <v>21970000</v>
      </c>
      <c r="J27" s="41" t="n">
        <f aca="false">IF($B27="","",H27+I27)</f>
        <v>30570000</v>
      </c>
    </row>
    <row r="28" customFormat="false" ht="15" hidden="false" customHeight="false" outlineLevel="0" collapsed="false">
      <c r="B28" s="38" t="n">
        <f aca="false">IF(Transaksi!C27="","",Transaksi!C27)</f>
        <v>46193</v>
      </c>
      <c r="C28" s="39" t="str">
        <f aca="false">IF(Transaksi!C27="","",Transaksi!D27)</f>
        <v>KK-015</v>
      </c>
      <c r="D28" s="40" t="str">
        <f aca="false">IF(Transaksi!C27="","",Transaksi!H27)</f>
        <v>Pelatihan peningkatan kapasitas anggota</v>
      </c>
      <c r="E28" s="39" t="str">
        <f aca="false">IF(Transaksi!C27="","",Transaksi!G27)</f>
        <v>Bank</v>
      </c>
      <c r="F28" s="36" t="n">
        <f aca="false">IF(Transaksi!C27="","",Transaksi!J27)</f>
        <v>0</v>
      </c>
      <c r="G28" s="36" t="n">
        <f aca="false">IF(Transaksi!C27="","",Transaksi!K27)</f>
        <v>2800000</v>
      </c>
      <c r="H28" s="36" t="n">
        <f aca="false">IF($B28="","",Pengaturan!$C$10+SUMIFS(Transaksi!$J$6:$J27,Transaksi!$G$6:$G27,Pengaturan!$F$19)-SUMIFS(Transaksi!$K$6:$K27,Transaksi!$G$6:$G27,Pengaturan!$F$19))</f>
        <v>8600000</v>
      </c>
      <c r="I28" s="36" t="n">
        <f aca="false">IF($B28="","",Pengaturan!$C$11+SUMIFS(Transaksi!$J$6:$J27,Transaksi!$G$6:$G27,Pengaturan!$F$20)-SUMIFS(Transaksi!$K$6:$K27,Transaksi!$G$6:$G27,Pengaturan!$F$20))</f>
        <v>19170000</v>
      </c>
      <c r="J28" s="41" t="n">
        <f aca="false">IF($B28="","",H28+I28)</f>
        <v>27770000</v>
      </c>
    </row>
    <row r="29" customFormat="false" ht="15" hidden="false" customHeight="false" outlineLevel="0" collapsed="false">
      <c r="B29" s="38" t="n">
        <f aca="false">IF(Transaksi!C28="","",Transaksi!C28)</f>
        <v>46194</v>
      </c>
      <c r="C29" s="39" t="str">
        <f aca="false">IF(Transaksi!C28="","",Transaksi!D28)</f>
        <v>KK-016</v>
      </c>
      <c r="D29" s="40" t="str">
        <f aca="false">IF(Transaksi!C28="","",Transaksi!H28)</f>
        <v>Honor narasumber pelatihan</v>
      </c>
      <c r="E29" s="39" t="str">
        <f aca="false">IF(Transaksi!C28="","",Transaksi!G28)</f>
        <v>Kas Tunai</v>
      </c>
      <c r="F29" s="36" t="n">
        <f aca="false">IF(Transaksi!C28="","",Transaksi!J28)</f>
        <v>0</v>
      </c>
      <c r="G29" s="36" t="n">
        <f aca="false">IF(Transaksi!C28="","",Transaksi!K28)</f>
        <v>1000000</v>
      </c>
      <c r="H29" s="36" t="n">
        <f aca="false">IF($B29="","",Pengaturan!$C$10+SUMIFS(Transaksi!$J$6:$J28,Transaksi!$G$6:$G28,Pengaturan!$F$19)-SUMIFS(Transaksi!$K$6:$K28,Transaksi!$G$6:$G28,Pengaturan!$F$19))</f>
        <v>7600000</v>
      </c>
      <c r="I29" s="36" t="n">
        <f aca="false">IF($B29="","",Pengaturan!$C$11+SUMIFS(Transaksi!$J$6:$J28,Transaksi!$G$6:$G28,Pengaturan!$F$20)-SUMIFS(Transaksi!$K$6:$K28,Transaksi!$G$6:$G28,Pengaturan!$F$20))</f>
        <v>19170000</v>
      </c>
      <c r="J29" s="41" t="n">
        <f aca="false">IF($B29="","",H29+I29)</f>
        <v>26770000</v>
      </c>
    </row>
    <row r="30" customFormat="false" ht="15" hidden="false" customHeight="false" outlineLevel="0" collapsed="false">
      <c r="B30" s="38" t="n">
        <f aca="false">IF(Transaksi!C29="","",Transaksi!C29)</f>
        <v>46201</v>
      </c>
      <c r="C30" s="39" t="str">
        <f aca="false">IF(Transaksi!C29="","",Transaksi!D29)</f>
        <v>KK-017</v>
      </c>
      <c r="D30" s="40" t="str">
        <f aca="false">IF(Transaksi!C29="","",Transaksi!H29)</f>
        <v>Biaya administrasi bank Juni</v>
      </c>
      <c r="E30" s="39" t="str">
        <f aca="false">IF(Transaksi!C29="","",Transaksi!G29)</f>
        <v>Bank</v>
      </c>
      <c r="F30" s="36" t="n">
        <f aca="false">IF(Transaksi!C29="","",Transaksi!J29)</f>
        <v>0</v>
      </c>
      <c r="G30" s="36" t="n">
        <f aca="false">IF(Transaksi!C29="","",Transaksi!K29)</f>
        <v>15000</v>
      </c>
      <c r="H30" s="36" t="n">
        <f aca="false">IF($B30="","",Pengaturan!$C$10+SUMIFS(Transaksi!$J$6:$J29,Transaksi!$G$6:$G29,Pengaturan!$F$19)-SUMIFS(Transaksi!$K$6:$K29,Transaksi!$G$6:$G29,Pengaturan!$F$19))</f>
        <v>7600000</v>
      </c>
      <c r="I30" s="36" t="n">
        <f aca="false">IF($B30="","",Pengaturan!$C$11+SUMIFS(Transaksi!$J$6:$J29,Transaksi!$G$6:$G29,Pengaturan!$F$20)-SUMIFS(Transaksi!$K$6:$K29,Transaksi!$G$6:$G29,Pengaturan!$F$20))</f>
        <v>19155000</v>
      </c>
      <c r="J30" s="41" t="n">
        <f aca="false">IF($B30="","",H30+I30)</f>
        <v>26755000</v>
      </c>
    </row>
    <row r="31" customFormat="false" ht="15" hidden="false" customHeight="false" outlineLevel="0" collapsed="false">
      <c r="B31" s="38" t="n">
        <f aca="false">IF(Transaksi!C30="","",Transaksi!C30)</f>
        <v>46203</v>
      </c>
      <c r="C31" s="39" t="str">
        <f aca="false">IF(Transaksi!C30="","",Transaksi!D30)</f>
        <v>KM-008</v>
      </c>
      <c r="D31" s="40" t="str">
        <f aca="false">IF(Transaksi!C30="","",Transaksi!H30)</f>
        <v>Bunga tabungan triwulan II</v>
      </c>
      <c r="E31" s="39" t="str">
        <f aca="false">IF(Transaksi!C30="","",Transaksi!G30)</f>
        <v>Bank</v>
      </c>
      <c r="F31" s="36" t="n">
        <f aca="false">IF(Transaksi!C30="","",Transaksi!J30)</f>
        <v>48000</v>
      </c>
      <c r="G31" s="36" t="n">
        <f aca="false">IF(Transaksi!C30="","",Transaksi!K30)</f>
        <v>0</v>
      </c>
      <c r="H31" s="36" t="n">
        <f aca="false">IF($B31="","",Pengaturan!$C$10+SUMIFS(Transaksi!$J$6:$J30,Transaksi!$G$6:$G30,Pengaturan!$F$19)-SUMIFS(Transaksi!$K$6:$K30,Transaksi!$G$6:$G30,Pengaturan!$F$19))</f>
        <v>7600000</v>
      </c>
      <c r="I31" s="36" t="n">
        <f aca="false">IF($B31="","",Pengaturan!$C$11+SUMIFS(Transaksi!$J$6:$J30,Transaksi!$G$6:$G30,Pengaturan!$F$20)-SUMIFS(Transaksi!$K$6:$K30,Transaksi!$G$6:$G30,Pengaturan!$F$20))</f>
        <v>19203000</v>
      </c>
      <c r="J31" s="41" t="n">
        <f aca="false">IF($B31="","",H31+I31)</f>
        <v>26803000</v>
      </c>
    </row>
    <row r="32" customFormat="false" ht="15" hidden="false" customHeight="false" outlineLevel="0" collapsed="false">
      <c r="B32" s="38" t="n">
        <f aca="false">IF(Transaksi!C31="","",Transaksi!C31)</f>
        <v>46208</v>
      </c>
      <c r="C32" s="39" t="str">
        <f aca="false">IF(Transaksi!C31="","",Transaksi!D31)</f>
        <v>KK-018</v>
      </c>
      <c r="D32" s="40" t="str">
        <f aca="false">IF(Transaksi!C31="","",Transaksi!H31)</f>
        <v>Sewa sekretariat triwulan III</v>
      </c>
      <c r="E32" s="39" t="str">
        <f aca="false">IF(Transaksi!C31="","",Transaksi!G31)</f>
        <v>Bank</v>
      </c>
      <c r="F32" s="36" t="n">
        <f aca="false">IF(Transaksi!C31="","",Transaksi!J31)</f>
        <v>0</v>
      </c>
      <c r="G32" s="36" t="n">
        <f aca="false">IF(Transaksi!C31="","",Transaksi!K31)</f>
        <v>1500000</v>
      </c>
      <c r="H32" s="36" t="n">
        <f aca="false">IF($B32="","",Pengaturan!$C$10+SUMIFS(Transaksi!$J$6:$J31,Transaksi!$G$6:$G31,Pengaturan!$F$19)-SUMIFS(Transaksi!$K$6:$K31,Transaksi!$G$6:$G31,Pengaturan!$F$19))</f>
        <v>7600000</v>
      </c>
      <c r="I32" s="36" t="n">
        <f aca="false">IF($B32="","",Pengaturan!$C$11+SUMIFS(Transaksi!$J$6:$J31,Transaksi!$G$6:$G31,Pengaturan!$F$20)-SUMIFS(Transaksi!$K$6:$K31,Transaksi!$G$6:$G31,Pengaturan!$F$20))</f>
        <v>17703000</v>
      </c>
      <c r="J32" s="41" t="n">
        <f aca="false">IF($B32="","",H32+I32)</f>
        <v>25303000</v>
      </c>
    </row>
    <row r="33" customFormat="false" ht="15" hidden="false" customHeight="false" outlineLevel="0" collapsed="false">
      <c r="B33" s="38" t="n">
        <f aca="false">IF(Transaksi!C32="","",Transaksi!C32)</f>
        <v>46231</v>
      </c>
      <c r="C33" s="39" t="str">
        <f aca="false">IF(Transaksi!C32="","",Transaksi!D32)</f>
        <v>KK-019</v>
      </c>
      <c r="D33" s="40" t="str">
        <f aca="false">IF(Transaksi!C32="","",Transaksi!H32)</f>
        <v>Biaya administrasi bank Juli</v>
      </c>
      <c r="E33" s="39" t="str">
        <f aca="false">IF(Transaksi!C32="","",Transaksi!G32)</f>
        <v>Bank</v>
      </c>
      <c r="F33" s="36" t="n">
        <f aca="false">IF(Transaksi!C32="","",Transaksi!J32)</f>
        <v>0</v>
      </c>
      <c r="G33" s="36" t="n">
        <f aca="false">IF(Transaksi!C32="","",Transaksi!K32)</f>
        <v>15000</v>
      </c>
      <c r="H33" s="36" t="n">
        <f aca="false">IF($B33="","",Pengaturan!$C$10+SUMIFS(Transaksi!$J$6:$J32,Transaksi!$G$6:$G32,Pengaturan!$F$19)-SUMIFS(Transaksi!$K$6:$K32,Transaksi!$G$6:$G32,Pengaturan!$F$19))</f>
        <v>7600000</v>
      </c>
      <c r="I33" s="36" t="n">
        <f aca="false">IF($B33="","",Pengaturan!$C$11+SUMIFS(Transaksi!$J$6:$J32,Transaksi!$G$6:$G32,Pengaturan!$F$20)-SUMIFS(Transaksi!$K$6:$K32,Transaksi!$G$6:$G32,Pengaturan!$F$20))</f>
        <v>17688000</v>
      </c>
      <c r="J33" s="41" t="n">
        <f aca="false">IF($B33="","",H33+I33)</f>
        <v>25288000</v>
      </c>
    </row>
    <row r="34" customFormat="false" ht="15" hidden="false" customHeight="false" outlineLevel="0" collapsed="false">
      <c r="B34" s="38" t="n">
        <f aca="false">IF(Transaksi!C33="","",Transaksi!C33)</f>
        <v>46251</v>
      </c>
      <c r="C34" s="39" t="str">
        <f aca="false">IF(Transaksi!C33="","",Transaksi!D33)</f>
        <v>KM-009</v>
      </c>
      <c r="D34" s="40" t="str">
        <f aca="false">IF(Transaksi!C33="","",Transaksi!H33)</f>
        <v>Donasi anggota untuk HUT RI</v>
      </c>
      <c r="E34" s="39" t="str">
        <f aca="false">IF(Transaksi!C33="","",Transaksi!G33)</f>
        <v>Kas Tunai</v>
      </c>
      <c r="F34" s="36" t="n">
        <f aca="false">IF(Transaksi!C33="","",Transaksi!J33)</f>
        <v>1500000</v>
      </c>
      <c r="G34" s="36" t="n">
        <f aca="false">IF(Transaksi!C33="","",Transaksi!K33)</f>
        <v>0</v>
      </c>
      <c r="H34" s="36" t="n">
        <f aca="false">IF($B34="","",Pengaturan!$C$10+SUMIFS(Transaksi!$J$6:$J33,Transaksi!$G$6:$G33,Pengaturan!$F$19)-SUMIFS(Transaksi!$K$6:$K33,Transaksi!$G$6:$G33,Pengaturan!$F$19))</f>
        <v>9100000</v>
      </c>
      <c r="I34" s="36" t="n">
        <f aca="false">IF($B34="","",Pengaturan!$C$11+SUMIFS(Transaksi!$J$6:$J33,Transaksi!$G$6:$G33,Pengaturan!$F$20)-SUMIFS(Transaksi!$K$6:$K33,Transaksi!$G$6:$G33,Pengaturan!$F$20))</f>
        <v>17688000</v>
      </c>
      <c r="J34" s="41" t="n">
        <f aca="false">IF($B34="","",H34+I34)</f>
        <v>26788000</v>
      </c>
    </row>
    <row r="35" customFormat="false" ht="15" hidden="false" customHeight="false" outlineLevel="0" collapsed="false">
      <c r="B35" s="38" t="n">
        <f aca="false">IF(Transaksi!C34="","",Transaksi!C34)</f>
        <v>46251</v>
      </c>
      <c r="C35" s="39" t="str">
        <f aca="false">IF(Transaksi!C34="","",Transaksi!D34)</f>
        <v>KK-020</v>
      </c>
      <c r="D35" s="40" t="str">
        <f aca="false">IF(Transaksi!C34="","",Transaksi!H34)</f>
        <v>Lomba perayaan HUT RI</v>
      </c>
      <c r="E35" s="39" t="str">
        <f aca="false">IF(Transaksi!C34="","",Transaksi!G34)</f>
        <v>Kas Tunai</v>
      </c>
      <c r="F35" s="36" t="n">
        <f aca="false">IF(Transaksi!C34="","",Transaksi!J34)</f>
        <v>0</v>
      </c>
      <c r="G35" s="36" t="n">
        <f aca="false">IF(Transaksi!C34="","",Transaksi!K34)</f>
        <v>1300000</v>
      </c>
      <c r="H35" s="36" t="n">
        <f aca="false">IF($B35="","",Pengaturan!$C$10+SUMIFS(Transaksi!$J$6:$J34,Transaksi!$G$6:$G34,Pengaturan!$F$19)-SUMIFS(Transaksi!$K$6:$K34,Transaksi!$G$6:$G34,Pengaturan!$F$19))</f>
        <v>7800000</v>
      </c>
      <c r="I35" s="36" t="n">
        <f aca="false">IF($B35="","",Pengaturan!$C$11+SUMIFS(Transaksi!$J$6:$J34,Transaksi!$G$6:$G34,Pengaturan!$F$20)-SUMIFS(Transaksi!$K$6:$K34,Transaksi!$G$6:$G34,Pengaturan!$F$20))</f>
        <v>17688000</v>
      </c>
      <c r="J35" s="41" t="n">
        <f aca="false">IF($B35="","",H35+I35)</f>
        <v>25488000</v>
      </c>
    </row>
    <row r="36" customFormat="false" ht="15" hidden="false" customHeight="false" outlineLevel="0" collapsed="false">
      <c r="B36" s="38" t="n">
        <f aca="false">IF(Transaksi!C35="","",Transaksi!C35)</f>
        <v>46262</v>
      </c>
      <c r="C36" s="39" t="str">
        <f aca="false">IF(Transaksi!C35="","",Transaksi!D35)</f>
        <v>KK-021</v>
      </c>
      <c r="D36" s="40" t="str">
        <f aca="false">IF(Transaksi!C35="","",Transaksi!H35)</f>
        <v>Biaya administrasi bank Agustus</v>
      </c>
      <c r="E36" s="39" t="str">
        <f aca="false">IF(Transaksi!C35="","",Transaksi!G35)</f>
        <v>Bank</v>
      </c>
      <c r="F36" s="36" t="n">
        <f aca="false">IF(Transaksi!C35="","",Transaksi!J35)</f>
        <v>0</v>
      </c>
      <c r="G36" s="36" t="n">
        <f aca="false">IF(Transaksi!C35="","",Transaksi!K35)</f>
        <v>15000</v>
      </c>
      <c r="H36" s="36" t="n">
        <f aca="false">IF($B36="","",Pengaturan!$C$10+SUMIFS(Transaksi!$J$6:$J35,Transaksi!$G$6:$G35,Pengaturan!$F$19)-SUMIFS(Transaksi!$K$6:$K35,Transaksi!$G$6:$G35,Pengaturan!$F$19))</f>
        <v>7800000</v>
      </c>
      <c r="I36" s="36" t="n">
        <f aca="false">IF($B36="","",Pengaturan!$C$11+SUMIFS(Transaksi!$J$6:$J35,Transaksi!$G$6:$G35,Pengaturan!$F$20)-SUMIFS(Transaksi!$K$6:$K35,Transaksi!$G$6:$G35,Pengaturan!$F$20))</f>
        <v>17673000</v>
      </c>
      <c r="J36" s="41" t="n">
        <f aca="false">IF($B36="","",H36+I36)</f>
        <v>25473000</v>
      </c>
    </row>
    <row r="37" customFormat="false" ht="15" hidden="false" customHeight="false" outlineLevel="0" collapsed="false">
      <c r="B37" s="38" t="n">
        <f aca="false">IF(Transaksi!C36="","",Transaksi!C36)</f>
        <v>46270</v>
      </c>
      <c r="C37" s="39" t="str">
        <f aca="false">IF(Transaksi!C36="","",Transaksi!D36)</f>
        <v>KK-022</v>
      </c>
      <c r="D37" s="40" t="str">
        <f aca="false">IF(Transaksi!C36="","",Transaksi!H36)</f>
        <v>Pembelian kursi plastik dan banner</v>
      </c>
      <c r="E37" s="39" t="str">
        <f aca="false">IF(Transaksi!C36="","",Transaksi!G36)</f>
        <v>Kas Tunai</v>
      </c>
      <c r="F37" s="36" t="n">
        <f aca="false">IF(Transaksi!C36="","",Transaksi!J36)</f>
        <v>0</v>
      </c>
      <c r="G37" s="36" t="n">
        <f aca="false">IF(Transaksi!C36="","",Transaksi!K36)</f>
        <v>1750000</v>
      </c>
      <c r="H37" s="36" t="n">
        <f aca="false">IF($B37="","",Pengaturan!$C$10+SUMIFS(Transaksi!$J$6:$J36,Transaksi!$G$6:$G36,Pengaturan!$F$19)-SUMIFS(Transaksi!$K$6:$K36,Transaksi!$G$6:$G36,Pengaturan!$F$19))</f>
        <v>6050000</v>
      </c>
      <c r="I37" s="36" t="n">
        <f aca="false">IF($B37="","",Pengaturan!$C$11+SUMIFS(Transaksi!$J$6:$J36,Transaksi!$G$6:$G36,Pengaturan!$F$20)-SUMIFS(Transaksi!$K$6:$K36,Transaksi!$G$6:$G36,Pengaturan!$F$20))</f>
        <v>17673000</v>
      </c>
      <c r="J37" s="41" t="n">
        <f aca="false">IF($B37="","",H37+I37)</f>
        <v>23723000</v>
      </c>
    </row>
    <row r="38" customFormat="false" ht="15" hidden="false" customHeight="false" outlineLevel="0" collapsed="false">
      <c r="B38" s="38" t="n">
        <f aca="false">IF(Transaksi!C37="","",Transaksi!C37)</f>
        <v>46283</v>
      </c>
      <c r="C38" s="39" t="str">
        <f aca="false">IF(Transaksi!C37="","",Transaksi!D37)</f>
        <v>KK-023</v>
      </c>
      <c r="D38" s="40" t="str">
        <f aca="false">IF(Transaksi!C37="","",Transaksi!H37)</f>
        <v>Santunan musibah anggota</v>
      </c>
      <c r="E38" s="39" t="str">
        <f aca="false">IF(Transaksi!C37="","",Transaksi!G37)</f>
        <v>Kas Tunai</v>
      </c>
      <c r="F38" s="36" t="n">
        <f aca="false">IF(Transaksi!C37="","",Transaksi!J37)</f>
        <v>0</v>
      </c>
      <c r="G38" s="36" t="n">
        <f aca="false">IF(Transaksi!C37="","",Transaksi!K37)</f>
        <v>1000000</v>
      </c>
      <c r="H38" s="36" t="n">
        <f aca="false">IF($B38="","",Pengaturan!$C$10+SUMIFS(Transaksi!$J$6:$J37,Transaksi!$G$6:$G37,Pengaturan!$F$19)-SUMIFS(Transaksi!$K$6:$K37,Transaksi!$G$6:$G37,Pengaturan!$F$19))</f>
        <v>5050000</v>
      </c>
      <c r="I38" s="36" t="n">
        <f aca="false">IF($B38="","",Pengaturan!$C$11+SUMIFS(Transaksi!$J$6:$J37,Transaksi!$G$6:$G37,Pengaturan!$F$20)-SUMIFS(Transaksi!$K$6:$K37,Transaksi!$G$6:$G37,Pengaturan!$F$20))</f>
        <v>17673000</v>
      </c>
      <c r="J38" s="41" t="n">
        <f aca="false">IF($B38="","",H38+I38)</f>
        <v>22723000</v>
      </c>
    </row>
    <row r="39" customFormat="false" ht="15" hidden="false" customHeight="false" outlineLevel="0" collapsed="false">
      <c r="B39" s="38" t="n">
        <f aca="false">IF(Transaksi!C38="","",Transaksi!C38)</f>
        <v>46293</v>
      </c>
      <c r="C39" s="39" t="str">
        <f aca="false">IF(Transaksi!C38="","",Transaksi!D38)</f>
        <v>KK-024</v>
      </c>
      <c r="D39" s="40" t="str">
        <f aca="false">IF(Transaksi!C38="","",Transaksi!H38)</f>
        <v>Biaya administrasi bank September</v>
      </c>
      <c r="E39" s="39" t="str">
        <f aca="false">IF(Transaksi!C38="","",Transaksi!G38)</f>
        <v>Bank</v>
      </c>
      <c r="F39" s="36" t="n">
        <f aca="false">IF(Transaksi!C38="","",Transaksi!J38)</f>
        <v>0</v>
      </c>
      <c r="G39" s="36" t="n">
        <f aca="false">IF(Transaksi!C38="","",Transaksi!K38)</f>
        <v>15000</v>
      </c>
      <c r="H39" s="36" t="n">
        <f aca="false">IF($B39="","",Pengaturan!$C$10+SUMIFS(Transaksi!$J$6:$J38,Transaksi!$G$6:$G38,Pengaturan!$F$19)-SUMIFS(Transaksi!$K$6:$K38,Transaksi!$G$6:$G38,Pengaturan!$F$19))</f>
        <v>5050000</v>
      </c>
      <c r="I39" s="36" t="n">
        <f aca="false">IF($B39="","",Pengaturan!$C$11+SUMIFS(Transaksi!$J$6:$J38,Transaksi!$G$6:$G38,Pengaturan!$F$20)-SUMIFS(Transaksi!$K$6:$K38,Transaksi!$G$6:$G38,Pengaturan!$F$20))</f>
        <v>17658000</v>
      </c>
      <c r="J39" s="41" t="n">
        <f aca="false">IF($B39="","",H39+I39)</f>
        <v>22708000</v>
      </c>
    </row>
    <row r="40" customFormat="false" ht="15" hidden="false" customHeight="false" outlineLevel="0" collapsed="false">
      <c r="B40" s="38" t="n">
        <f aca="false">IF(Transaksi!C39="","",Transaksi!C39)</f>
        <v>46295</v>
      </c>
      <c r="C40" s="39" t="str">
        <f aca="false">IF(Transaksi!C39="","",Transaksi!D39)</f>
        <v>KM-010</v>
      </c>
      <c r="D40" s="40" t="str">
        <f aca="false">IF(Transaksi!C39="","",Transaksi!H39)</f>
        <v>Bunga tabungan triwulan III</v>
      </c>
      <c r="E40" s="39" t="str">
        <f aca="false">IF(Transaksi!C39="","",Transaksi!G39)</f>
        <v>Bank</v>
      </c>
      <c r="F40" s="36" t="n">
        <f aca="false">IF(Transaksi!C39="","",Transaksi!J39)</f>
        <v>50000</v>
      </c>
      <c r="G40" s="36" t="n">
        <f aca="false">IF(Transaksi!C39="","",Transaksi!K39)</f>
        <v>0</v>
      </c>
      <c r="H40" s="36" t="n">
        <f aca="false">IF($B40="","",Pengaturan!$C$10+SUMIFS(Transaksi!$J$6:$J39,Transaksi!$G$6:$G39,Pengaturan!$F$19)-SUMIFS(Transaksi!$K$6:$K39,Transaksi!$G$6:$G39,Pengaturan!$F$19))</f>
        <v>5050000</v>
      </c>
      <c r="I40" s="36" t="n">
        <f aca="false">IF($B40="","",Pengaturan!$C$11+SUMIFS(Transaksi!$J$6:$J39,Transaksi!$G$6:$G39,Pengaturan!$F$20)-SUMIFS(Transaksi!$K$6:$K39,Transaksi!$G$6:$G39,Pengaturan!$F$20))</f>
        <v>17708000</v>
      </c>
      <c r="J40" s="41" t="n">
        <f aca="false">IF($B40="","",H40+I40)</f>
        <v>22758000</v>
      </c>
    </row>
    <row r="41" customFormat="false" ht="15" hidden="false" customHeight="false" outlineLevel="0" collapsed="false">
      <c r="B41" s="38" t="n">
        <f aca="false">IF(Transaksi!C40="","",Transaksi!C40)</f>
        <v>46300</v>
      </c>
      <c r="C41" s="39" t="str">
        <f aca="false">IF(Transaksi!C40="","",Transaksi!D40)</f>
        <v>KK-025</v>
      </c>
      <c r="D41" s="40" t="str">
        <f aca="false">IF(Transaksi!C40="","",Transaksi!H40)</f>
        <v>Sewa sekretariat triwulan IV</v>
      </c>
      <c r="E41" s="39" t="str">
        <f aca="false">IF(Transaksi!C40="","",Transaksi!G40)</f>
        <v>Bank</v>
      </c>
      <c r="F41" s="36" t="n">
        <f aca="false">IF(Transaksi!C40="","",Transaksi!J40)</f>
        <v>0</v>
      </c>
      <c r="G41" s="36" t="n">
        <f aca="false">IF(Transaksi!C40="","",Transaksi!K40)</f>
        <v>1500000</v>
      </c>
      <c r="H41" s="36" t="n">
        <f aca="false">IF($B41="","",Pengaturan!$C$10+SUMIFS(Transaksi!$J$6:$J40,Transaksi!$G$6:$G40,Pengaturan!$F$19)-SUMIFS(Transaksi!$K$6:$K40,Transaksi!$G$6:$G40,Pengaturan!$F$19))</f>
        <v>5050000</v>
      </c>
      <c r="I41" s="36" t="n">
        <f aca="false">IF($B41="","",Pengaturan!$C$11+SUMIFS(Transaksi!$J$6:$J40,Transaksi!$G$6:$G40,Pengaturan!$F$20)-SUMIFS(Transaksi!$K$6:$K40,Transaksi!$G$6:$G40,Pengaturan!$F$20))</f>
        <v>16208000</v>
      </c>
      <c r="J41" s="41" t="n">
        <f aca="false">IF($B41="","",H41+I41)</f>
        <v>21258000</v>
      </c>
    </row>
    <row r="42" customFormat="false" ht="15" hidden="false" customHeight="false" outlineLevel="0" collapsed="false">
      <c r="B42" s="38" t="n">
        <f aca="false">IF(Transaksi!C41="","",Transaksi!C41)</f>
        <v>46305</v>
      </c>
      <c r="C42" s="39" t="str">
        <f aca="false">IF(Transaksi!C41="","",Transaksi!D41)</f>
        <v>KK-026</v>
      </c>
      <c r="D42" s="40" t="str">
        <f aca="false">IF(Transaksi!C41="","",Transaksi!H41)</f>
        <v>Fotokopi dan materai</v>
      </c>
      <c r="E42" s="39" t="str">
        <f aca="false">IF(Transaksi!C41="","",Transaksi!G41)</f>
        <v>Kas Tunai</v>
      </c>
      <c r="F42" s="36" t="n">
        <f aca="false">IF(Transaksi!C41="","",Transaksi!J41)</f>
        <v>0</v>
      </c>
      <c r="G42" s="36" t="n">
        <f aca="false">IF(Transaksi!C41="","",Transaksi!K41)</f>
        <v>180000</v>
      </c>
      <c r="H42" s="36" t="n">
        <f aca="false">IF($B42="","",Pengaturan!$C$10+SUMIFS(Transaksi!$J$6:$J41,Transaksi!$G$6:$G41,Pengaturan!$F$19)-SUMIFS(Transaksi!$K$6:$K41,Transaksi!$G$6:$G41,Pengaturan!$F$19))</f>
        <v>4870000</v>
      </c>
      <c r="I42" s="36" t="n">
        <f aca="false">IF($B42="","",Pengaturan!$C$11+SUMIFS(Transaksi!$J$6:$J41,Transaksi!$G$6:$G41,Pengaturan!$F$20)-SUMIFS(Transaksi!$K$6:$K41,Transaksi!$G$6:$G41,Pengaturan!$F$20))</f>
        <v>16208000</v>
      </c>
      <c r="J42" s="41" t="n">
        <f aca="false">IF($B42="","",H42+I42)</f>
        <v>21078000</v>
      </c>
    </row>
    <row r="43" customFormat="false" ht="15" hidden="false" customHeight="false" outlineLevel="0" collapsed="false">
      <c r="B43" s="38" t="n">
        <f aca="false">IF(Transaksi!C42="","",Transaksi!C42)</f>
        <v>46307</v>
      </c>
      <c r="C43" s="39" t="str">
        <f aca="false">IF(Transaksi!C42="","",Transaksi!D42)</f>
        <v>KK-027</v>
      </c>
      <c r="D43" s="40" t="str">
        <f aca="false">IF(Transaksi!C42="","",Transaksi!H42)</f>
        <v>Konsumsi rapat evaluasi</v>
      </c>
      <c r="E43" s="39" t="str">
        <f aca="false">IF(Transaksi!C42="","",Transaksi!G42)</f>
        <v>Kas Tunai</v>
      </c>
      <c r="F43" s="36" t="n">
        <f aca="false">IF(Transaksi!C42="","",Transaksi!J42)</f>
        <v>0</v>
      </c>
      <c r="G43" s="36" t="n">
        <f aca="false">IF(Transaksi!C42="","",Transaksi!K42)</f>
        <v>500000</v>
      </c>
      <c r="H43" s="36" t="n">
        <f aca="false">IF($B43="","",Pengaturan!$C$10+SUMIFS(Transaksi!$J$6:$J42,Transaksi!$G$6:$G42,Pengaturan!$F$19)-SUMIFS(Transaksi!$K$6:$K42,Transaksi!$G$6:$G42,Pengaturan!$F$19))</f>
        <v>4370000</v>
      </c>
      <c r="I43" s="36" t="n">
        <f aca="false">IF($B43="","",Pengaturan!$C$11+SUMIFS(Transaksi!$J$6:$J42,Transaksi!$G$6:$G42,Pengaturan!$F$20)-SUMIFS(Transaksi!$K$6:$K42,Transaksi!$G$6:$G42,Pengaturan!$F$20))</f>
        <v>16208000</v>
      </c>
      <c r="J43" s="41" t="n">
        <f aca="false">IF($B43="","",H43+I43)</f>
        <v>20578000</v>
      </c>
    </row>
    <row r="44" customFormat="false" ht="15" hidden="false" customHeight="false" outlineLevel="0" collapsed="false">
      <c r="B44" s="38" t="n">
        <f aca="false">IF(Transaksi!C43="","",Transaksi!C43)</f>
        <v>46310</v>
      </c>
      <c r="C44" s="39" t="str">
        <f aca="false">IF(Transaksi!C43="","",Transaksi!D43)</f>
        <v>KK-028</v>
      </c>
      <c r="D44" s="40" t="str">
        <f aca="false">IF(Transaksi!C43="","",Transaksi!H43)</f>
        <v>Biaya administrasi bank Oktober</v>
      </c>
      <c r="E44" s="39" t="str">
        <f aca="false">IF(Transaksi!C43="","",Transaksi!G43)</f>
        <v>Bank</v>
      </c>
      <c r="F44" s="36" t="n">
        <f aca="false">IF(Transaksi!C43="","",Transaksi!J43)</f>
        <v>0</v>
      </c>
      <c r="G44" s="36" t="n">
        <f aca="false">IF(Transaksi!C43="","",Transaksi!K43)</f>
        <v>15000</v>
      </c>
      <c r="H44" s="36" t="n">
        <f aca="false">IF($B44="","",Pengaturan!$C$10+SUMIFS(Transaksi!$J$6:$J43,Transaksi!$G$6:$G43,Pengaturan!$F$19)-SUMIFS(Transaksi!$K$6:$K43,Transaksi!$G$6:$G43,Pengaturan!$F$19))</f>
        <v>4370000</v>
      </c>
      <c r="I44" s="36" t="n">
        <f aca="false">IF($B44="","",Pengaturan!$C$11+SUMIFS(Transaksi!$J$6:$J43,Transaksi!$G$6:$G43,Pengaturan!$F$20)-SUMIFS(Transaksi!$K$6:$K43,Transaksi!$G$6:$G43,Pengaturan!$F$20))</f>
        <v>16193000</v>
      </c>
      <c r="J44" s="41" t="n">
        <f aca="false">IF($B44="","",H44+I44)</f>
        <v>20563000</v>
      </c>
    </row>
    <row r="45" customFormat="false" ht="15" hidden="false" customHeight="false" outlineLevel="0" collapsed="false">
      <c r="B45" s="38" t="n">
        <f aca="false">IF(Transaksi!C44="","",Transaksi!C44)</f>
        <v>46310</v>
      </c>
      <c r="C45" s="39" t="str">
        <f aca="false">IF(Transaksi!C44="","",Transaksi!D44)</f>
        <v>KK-029</v>
      </c>
      <c r="D45" s="40" t="str">
        <f aca="false">IF(Transaksi!C44="","",Transaksi!H44)</f>
        <v>Transport survei lokasi kegiatan</v>
      </c>
      <c r="E45" s="39" t="str">
        <f aca="false">IF(Transaksi!C44="","",Transaksi!G44)</f>
        <v>Kas Tunai</v>
      </c>
      <c r="F45" s="36" t="n">
        <f aca="false">IF(Transaksi!C44="","",Transaksi!J44)</f>
        <v>0</v>
      </c>
      <c r="G45" s="36" t="n">
        <f aca="false">IF(Transaksi!C44="","",Transaksi!K44)</f>
        <v>250000</v>
      </c>
      <c r="H45" s="36" t="n">
        <f aca="false">IF($B45="","",Pengaturan!$C$10+SUMIFS(Transaksi!$J$6:$J44,Transaksi!$G$6:$G44,Pengaturan!$F$19)-SUMIFS(Transaksi!$K$6:$K44,Transaksi!$G$6:$G44,Pengaturan!$F$19))</f>
        <v>4120000</v>
      </c>
      <c r="I45" s="36" t="n">
        <f aca="false">IF($B45="","",Pengaturan!$C$11+SUMIFS(Transaksi!$J$6:$J44,Transaksi!$G$6:$G44,Pengaturan!$F$20)-SUMIFS(Transaksi!$K$6:$K44,Transaksi!$G$6:$G44,Pengaturan!$F$20))</f>
        <v>16193000</v>
      </c>
      <c r="J45" s="41" t="n">
        <f aca="false">IF($B45="","",H45+I45)</f>
        <v>20313000</v>
      </c>
    </row>
    <row r="46" customFormat="false" ht="15" hidden="false" customHeight="false" outlineLevel="0" collapsed="false">
      <c r="B46" s="38" t="str">
        <f aca="false">IF(Transaksi!C45="","",Transaksi!C45)</f>
        <v/>
      </c>
      <c r="C46" s="39" t="str">
        <f aca="false">IF(Transaksi!C45="","",Transaksi!D45)</f>
        <v/>
      </c>
      <c r="D46" s="40" t="str">
        <f aca="false">IF(Transaksi!C45="","",Transaksi!H45)</f>
        <v/>
      </c>
      <c r="E46" s="39" t="str">
        <f aca="false">IF(Transaksi!C45="","",Transaksi!G45)</f>
        <v/>
      </c>
      <c r="F46" s="36" t="str">
        <f aca="false">IF(Transaksi!C45="","",Transaksi!J45)</f>
        <v/>
      </c>
      <c r="G46" s="36" t="str">
        <f aca="false">IF(Transaksi!C45="","",Transaksi!K45)</f>
        <v/>
      </c>
      <c r="H46" s="36" t="str">
        <f aca="false">IF($B46="","",Pengaturan!$C$10+SUMIFS(Transaksi!$J$6:$J45,Transaksi!$G$6:$G45,Pengaturan!$F$19)-SUMIFS(Transaksi!$K$6:$K45,Transaksi!$G$6:$G45,Pengaturan!$F$19))</f>
        <v/>
      </c>
      <c r="I46" s="36" t="str">
        <f aca="false">IF($B46="","",Pengaturan!$C$11+SUMIFS(Transaksi!$J$6:$J45,Transaksi!$G$6:$G45,Pengaturan!$F$20)-SUMIFS(Transaksi!$K$6:$K45,Transaksi!$G$6:$G45,Pengaturan!$F$20))</f>
        <v/>
      </c>
      <c r="J46" s="41" t="str">
        <f aca="false">IF($B46="","",H46+I46)</f>
        <v/>
      </c>
    </row>
    <row r="47" customFormat="false" ht="15" hidden="false" customHeight="false" outlineLevel="0" collapsed="false">
      <c r="B47" s="38" t="str">
        <f aca="false">IF(Transaksi!C46="","",Transaksi!C46)</f>
        <v/>
      </c>
      <c r="C47" s="39" t="str">
        <f aca="false">IF(Transaksi!C46="","",Transaksi!D46)</f>
        <v/>
      </c>
      <c r="D47" s="40" t="str">
        <f aca="false">IF(Transaksi!C46="","",Transaksi!H46)</f>
        <v/>
      </c>
      <c r="E47" s="39" t="str">
        <f aca="false">IF(Transaksi!C46="","",Transaksi!G46)</f>
        <v/>
      </c>
      <c r="F47" s="36" t="str">
        <f aca="false">IF(Transaksi!C46="","",Transaksi!J46)</f>
        <v/>
      </c>
      <c r="G47" s="36" t="str">
        <f aca="false">IF(Transaksi!C46="","",Transaksi!K46)</f>
        <v/>
      </c>
      <c r="H47" s="36" t="str">
        <f aca="false">IF($B47="","",Pengaturan!$C$10+SUMIFS(Transaksi!$J$6:$J46,Transaksi!$G$6:$G46,Pengaturan!$F$19)-SUMIFS(Transaksi!$K$6:$K46,Transaksi!$G$6:$G46,Pengaturan!$F$19))</f>
        <v/>
      </c>
      <c r="I47" s="36" t="str">
        <f aca="false">IF($B47="","",Pengaturan!$C$11+SUMIFS(Transaksi!$J$6:$J46,Transaksi!$G$6:$G46,Pengaturan!$F$20)-SUMIFS(Transaksi!$K$6:$K46,Transaksi!$G$6:$G46,Pengaturan!$F$20))</f>
        <v/>
      </c>
      <c r="J47" s="41" t="str">
        <f aca="false">IF($B47="","",H47+I47)</f>
        <v/>
      </c>
    </row>
    <row r="48" customFormat="false" ht="15" hidden="false" customHeight="false" outlineLevel="0" collapsed="false">
      <c r="B48" s="38" t="str">
        <f aca="false">IF(Transaksi!C47="","",Transaksi!C47)</f>
        <v/>
      </c>
      <c r="C48" s="39" t="str">
        <f aca="false">IF(Transaksi!C47="","",Transaksi!D47)</f>
        <v/>
      </c>
      <c r="D48" s="40" t="str">
        <f aca="false">IF(Transaksi!C47="","",Transaksi!H47)</f>
        <v/>
      </c>
      <c r="E48" s="39" t="str">
        <f aca="false">IF(Transaksi!C47="","",Transaksi!G47)</f>
        <v/>
      </c>
      <c r="F48" s="36" t="str">
        <f aca="false">IF(Transaksi!C47="","",Transaksi!J47)</f>
        <v/>
      </c>
      <c r="G48" s="36" t="str">
        <f aca="false">IF(Transaksi!C47="","",Transaksi!K47)</f>
        <v/>
      </c>
      <c r="H48" s="36" t="str">
        <f aca="false">IF($B48="","",Pengaturan!$C$10+SUMIFS(Transaksi!$J$6:$J47,Transaksi!$G$6:$G47,Pengaturan!$F$19)-SUMIFS(Transaksi!$K$6:$K47,Transaksi!$G$6:$G47,Pengaturan!$F$19))</f>
        <v/>
      </c>
      <c r="I48" s="36" t="str">
        <f aca="false">IF($B48="","",Pengaturan!$C$11+SUMIFS(Transaksi!$J$6:$J47,Transaksi!$G$6:$G47,Pengaturan!$F$20)-SUMIFS(Transaksi!$K$6:$K47,Transaksi!$G$6:$G47,Pengaturan!$F$20))</f>
        <v/>
      </c>
      <c r="J48" s="41" t="str">
        <f aca="false">IF($B48="","",H48+I48)</f>
        <v/>
      </c>
    </row>
    <row r="49" customFormat="false" ht="15" hidden="false" customHeight="false" outlineLevel="0" collapsed="false">
      <c r="B49" s="38" t="str">
        <f aca="false">IF(Transaksi!C48="","",Transaksi!C48)</f>
        <v/>
      </c>
      <c r="C49" s="39" t="str">
        <f aca="false">IF(Transaksi!C48="","",Transaksi!D48)</f>
        <v/>
      </c>
      <c r="D49" s="40" t="str">
        <f aca="false">IF(Transaksi!C48="","",Transaksi!H48)</f>
        <v/>
      </c>
      <c r="E49" s="39" t="str">
        <f aca="false">IF(Transaksi!C48="","",Transaksi!G48)</f>
        <v/>
      </c>
      <c r="F49" s="36" t="str">
        <f aca="false">IF(Transaksi!C48="","",Transaksi!J48)</f>
        <v/>
      </c>
      <c r="G49" s="36" t="str">
        <f aca="false">IF(Transaksi!C48="","",Transaksi!K48)</f>
        <v/>
      </c>
      <c r="H49" s="36" t="str">
        <f aca="false">IF($B49="","",Pengaturan!$C$10+SUMIFS(Transaksi!$J$6:$J48,Transaksi!$G$6:$G48,Pengaturan!$F$19)-SUMIFS(Transaksi!$K$6:$K48,Transaksi!$G$6:$G48,Pengaturan!$F$19))</f>
        <v/>
      </c>
      <c r="I49" s="36" t="str">
        <f aca="false">IF($B49="","",Pengaturan!$C$11+SUMIFS(Transaksi!$J$6:$J48,Transaksi!$G$6:$G48,Pengaturan!$F$20)-SUMIFS(Transaksi!$K$6:$K48,Transaksi!$G$6:$G48,Pengaturan!$F$20))</f>
        <v/>
      </c>
      <c r="J49" s="41" t="str">
        <f aca="false">IF($B49="","",H49+I49)</f>
        <v/>
      </c>
    </row>
    <row r="50" customFormat="false" ht="15" hidden="false" customHeight="false" outlineLevel="0" collapsed="false">
      <c r="B50" s="38" t="str">
        <f aca="false">IF(Transaksi!C49="","",Transaksi!C49)</f>
        <v/>
      </c>
      <c r="C50" s="39" t="str">
        <f aca="false">IF(Transaksi!C49="","",Transaksi!D49)</f>
        <v/>
      </c>
      <c r="D50" s="40" t="str">
        <f aca="false">IF(Transaksi!C49="","",Transaksi!H49)</f>
        <v/>
      </c>
      <c r="E50" s="39" t="str">
        <f aca="false">IF(Transaksi!C49="","",Transaksi!G49)</f>
        <v/>
      </c>
      <c r="F50" s="36" t="str">
        <f aca="false">IF(Transaksi!C49="","",Transaksi!J49)</f>
        <v/>
      </c>
      <c r="G50" s="36" t="str">
        <f aca="false">IF(Transaksi!C49="","",Transaksi!K49)</f>
        <v/>
      </c>
      <c r="H50" s="36" t="str">
        <f aca="false">IF($B50="","",Pengaturan!$C$10+SUMIFS(Transaksi!$J$6:$J49,Transaksi!$G$6:$G49,Pengaturan!$F$19)-SUMIFS(Transaksi!$K$6:$K49,Transaksi!$G$6:$G49,Pengaturan!$F$19))</f>
        <v/>
      </c>
      <c r="I50" s="36" t="str">
        <f aca="false">IF($B50="","",Pengaturan!$C$11+SUMIFS(Transaksi!$J$6:$J49,Transaksi!$G$6:$G49,Pengaturan!$F$20)-SUMIFS(Transaksi!$K$6:$K49,Transaksi!$G$6:$G49,Pengaturan!$F$20))</f>
        <v/>
      </c>
      <c r="J50" s="41" t="str">
        <f aca="false">IF($B50="","",H50+I50)</f>
        <v/>
      </c>
    </row>
    <row r="51" customFormat="false" ht="15" hidden="false" customHeight="false" outlineLevel="0" collapsed="false">
      <c r="B51" s="38" t="str">
        <f aca="false">IF(Transaksi!C50="","",Transaksi!C50)</f>
        <v/>
      </c>
      <c r="C51" s="39" t="str">
        <f aca="false">IF(Transaksi!C50="","",Transaksi!D50)</f>
        <v/>
      </c>
      <c r="D51" s="40" t="str">
        <f aca="false">IF(Transaksi!C50="","",Transaksi!H50)</f>
        <v/>
      </c>
      <c r="E51" s="39" t="str">
        <f aca="false">IF(Transaksi!C50="","",Transaksi!G50)</f>
        <v/>
      </c>
      <c r="F51" s="36" t="str">
        <f aca="false">IF(Transaksi!C50="","",Transaksi!J50)</f>
        <v/>
      </c>
      <c r="G51" s="36" t="str">
        <f aca="false">IF(Transaksi!C50="","",Transaksi!K50)</f>
        <v/>
      </c>
      <c r="H51" s="36" t="str">
        <f aca="false">IF($B51="","",Pengaturan!$C$10+SUMIFS(Transaksi!$J$6:$J50,Transaksi!$G$6:$G50,Pengaturan!$F$19)-SUMIFS(Transaksi!$K$6:$K50,Transaksi!$G$6:$G50,Pengaturan!$F$19))</f>
        <v/>
      </c>
      <c r="I51" s="36" t="str">
        <f aca="false">IF($B51="","",Pengaturan!$C$11+SUMIFS(Transaksi!$J$6:$J50,Transaksi!$G$6:$G50,Pengaturan!$F$20)-SUMIFS(Transaksi!$K$6:$K50,Transaksi!$G$6:$G50,Pengaturan!$F$20))</f>
        <v/>
      </c>
      <c r="J51" s="41" t="str">
        <f aca="false">IF($B51="","",H51+I51)</f>
        <v/>
      </c>
    </row>
    <row r="52" customFormat="false" ht="15" hidden="false" customHeight="false" outlineLevel="0" collapsed="false">
      <c r="B52" s="38" t="str">
        <f aca="false">IF(Transaksi!C51="","",Transaksi!C51)</f>
        <v/>
      </c>
      <c r="C52" s="39" t="str">
        <f aca="false">IF(Transaksi!C51="","",Transaksi!D51)</f>
        <v/>
      </c>
      <c r="D52" s="40" t="str">
        <f aca="false">IF(Transaksi!C51="","",Transaksi!H51)</f>
        <v/>
      </c>
      <c r="E52" s="39" t="str">
        <f aca="false">IF(Transaksi!C51="","",Transaksi!G51)</f>
        <v/>
      </c>
      <c r="F52" s="36" t="str">
        <f aca="false">IF(Transaksi!C51="","",Transaksi!J51)</f>
        <v/>
      </c>
      <c r="G52" s="36" t="str">
        <f aca="false">IF(Transaksi!C51="","",Transaksi!K51)</f>
        <v/>
      </c>
      <c r="H52" s="36" t="str">
        <f aca="false">IF($B52="","",Pengaturan!$C$10+SUMIFS(Transaksi!$J$6:$J51,Transaksi!$G$6:$G51,Pengaturan!$F$19)-SUMIFS(Transaksi!$K$6:$K51,Transaksi!$G$6:$G51,Pengaturan!$F$19))</f>
        <v/>
      </c>
      <c r="I52" s="36" t="str">
        <f aca="false">IF($B52="","",Pengaturan!$C$11+SUMIFS(Transaksi!$J$6:$J51,Transaksi!$G$6:$G51,Pengaturan!$F$20)-SUMIFS(Transaksi!$K$6:$K51,Transaksi!$G$6:$G51,Pengaturan!$F$20))</f>
        <v/>
      </c>
      <c r="J52" s="41" t="str">
        <f aca="false">IF($B52="","",H52+I52)</f>
        <v/>
      </c>
    </row>
    <row r="53" customFormat="false" ht="15" hidden="false" customHeight="false" outlineLevel="0" collapsed="false">
      <c r="B53" s="38" t="str">
        <f aca="false">IF(Transaksi!C52="","",Transaksi!C52)</f>
        <v/>
      </c>
      <c r="C53" s="39" t="str">
        <f aca="false">IF(Transaksi!C52="","",Transaksi!D52)</f>
        <v/>
      </c>
      <c r="D53" s="40" t="str">
        <f aca="false">IF(Transaksi!C52="","",Transaksi!H52)</f>
        <v/>
      </c>
      <c r="E53" s="39" t="str">
        <f aca="false">IF(Transaksi!C52="","",Transaksi!G52)</f>
        <v/>
      </c>
      <c r="F53" s="36" t="str">
        <f aca="false">IF(Transaksi!C52="","",Transaksi!J52)</f>
        <v/>
      </c>
      <c r="G53" s="36" t="str">
        <f aca="false">IF(Transaksi!C52="","",Transaksi!K52)</f>
        <v/>
      </c>
      <c r="H53" s="36" t="str">
        <f aca="false">IF($B53="","",Pengaturan!$C$10+SUMIFS(Transaksi!$J$6:$J52,Transaksi!$G$6:$G52,Pengaturan!$F$19)-SUMIFS(Transaksi!$K$6:$K52,Transaksi!$G$6:$G52,Pengaturan!$F$19))</f>
        <v/>
      </c>
      <c r="I53" s="36" t="str">
        <f aca="false">IF($B53="","",Pengaturan!$C$11+SUMIFS(Transaksi!$J$6:$J52,Transaksi!$G$6:$G52,Pengaturan!$F$20)-SUMIFS(Transaksi!$K$6:$K52,Transaksi!$G$6:$G52,Pengaturan!$F$20))</f>
        <v/>
      </c>
      <c r="J53" s="41" t="str">
        <f aca="false">IF($B53="","",H53+I53)</f>
        <v/>
      </c>
    </row>
    <row r="54" customFormat="false" ht="15" hidden="false" customHeight="false" outlineLevel="0" collapsed="false">
      <c r="B54" s="38" t="str">
        <f aca="false">IF(Transaksi!C53="","",Transaksi!C53)</f>
        <v/>
      </c>
      <c r="C54" s="39" t="str">
        <f aca="false">IF(Transaksi!C53="","",Transaksi!D53)</f>
        <v/>
      </c>
      <c r="D54" s="40" t="str">
        <f aca="false">IF(Transaksi!C53="","",Transaksi!H53)</f>
        <v/>
      </c>
      <c r="E54" s="39" t="str">
        <f aca="false">IF(Transaksi!C53="","",Transaksi!G53)</f>
        <v/>
      </c>
      <c r="F54" s="36" t="str">
        <f aca="false">IF(Transaksi!C53="","",Transaksi!J53)</f>
        <v/>
      </c>
      <c r="G54" s="36" t="str">
        <f aca="false">IF(Transaksi!C53="","",Transaksi!K53)</f>
        <v/>
      </c>
      <c r="H54" s="36" t="str">
        <f aca="false">IF($B54="","",Pengaturan!$C$10+SUMIFS(Transaksi!$J$6:$J53,Transaksi!$G$6:$G53,Pengaturan!$F$19)-SUMIFS(Transaksi!$K$6:$K53,Transaksi!$G$6:$G53,Pengaturan!$F$19))</f>
        <v/>
      </c>
      <c r="I54" s="36" t="str">
        <f aca="false">IF($B54="","",Pengaturan!$C$11+SUMIFS(Transaksi!$J$6:$J53,Transaksi!$G$6:$G53,Pengaturan!$F$20)-SUMIFS(Transaksi!$K$6:$K53,Transaksi!$G$6:$G53,Pengaturan!$F$20))</f>
        <v/>
      </c>
      <c r="J54" s="41" t="str">
        <f aca="false">IF($B54="","",H54+I54)</f>
        <v/>
      </c>
    </row>
    <row r="55" customFormat="false" ht="15" hidden="false" customHeight="false" outlineLevel="0" collapsed="false">
      <c r="B55" s="38" t="str">
        <f aca="false">IF(Transaksi!C54="","",Transaksi!C54)</f>
        <v/>
      </c>
      <c r="C55" s="39" t="str">
        <f aca="false">IF(Transaksi!C54="","",Transaksi!D54)</f>
        <v/>
      </c>
      <c r="D55" s="40" t="str">
        <f aca="false">IF(Transaksi!C54="","",Transaksi!H54)</f>
        <v/>
      </c>
      <c r="E55" s="39" t="str">
        <f aca="false">IF(Transaksi!C54="","",Transaksi!G54)</f>
        <v/>
      </c>
      <c r="F55" s="36" t="str">
        <f aca="false">IF(Transaksi!C54="","",Transaksi!J54)</f>
        <v/>
      </c>
      <c r="G55" s="36" t="str">
        <f aca="false">IF(Transaksi!C54="","",Transaksi!K54)</f>
        <v/>
      </c>
      <c r="H55" s="36" t="str">
        <f aca="false">IF($B55="","",Pengaturan!$C$10+SUMIFS(Transaksi!$J$6:$J54,Transaksi!$G$6:$G54,Pengaturan!$F$19)-SUMIFS(Transaksi!$K$6:$K54,Transaksi!$G$6:$G54,Pengaturan!$F$19))</f>
        <v/>
      </c>
      <c r="I55" s="36" t="str">
        <f aca="false">IF($B55="","",Pengaturan!$C$11+SUMIFS(Transaksi!$J$6:$J54,Transaksi!$G$6:$G54,Pengaturan!$F$20)-SUMIFS(Transaksi!$K$6:$K54,Transaksi!$G$6:$G54,Pengaturan!$F$20))</f>
        <v/>
      </c>
      <c r="J55" s="41" t="str">
        <f aca="false">IF($B55="","",H55+I55)</f>
        <v/>
      </c>
    </row>
    <row r="56" customFormat="false" ht="15" hidden="false" customHeight="false" outlineLevel="0" collapsed="false">
      <c r="B56" s="38" t="str">
        <f aca="false">IF(Transaksi!C55="","",Transaksi!C55)</f>
        <v/>
      </c>
      <c r="C56" s="39" t="str">
        <f aca="false">IF(Transaksi!C55="","",Transaksi!D55)</f>
        <v/>
      </c>
      <c r="D56" s="40" t="str">
        <f aca="false">IF(Transaksi!C55="","",Transaksi!H55)</f>
        <v/>
      </c>
      <c r="E56" s="39" t="str">
        <f aca="false">IF(Transaksi!C55="","",Transaksi!G55)</f>
        <v/>
      </c>
      <c r="F56" s="36" t="str">
        <f aca="false">IF(Transaksi!C55="","",Transaksi!J55)</f>
        <v/>
      </c>
      <c r="G56" s="36" t="str">
        <f aca="false">IF(Transaksi!C55="","",Transaksi!K55)</f>
        <v/>
      </c>
      <c r="H56" s="36" t="str">
        <f aca="false">IF($B56="","",Pengaturan!$C$10+SUMIFS(Transaksi!$J$6:$J55,Transaksi!$G$6:$G55,Pengaturan!$F$19)-SUMIFS(Transaksi!$K$6:$K55,Transaksi!$G$6:$G55,Pengaturan!$F$19))</f>
        <v/>
      </c>
      <c r="I56" s="36" t="str">
        <f aca="false">IF($B56="","",Pengaturan!$C$11+SUMIFS(Transaksi!$J$6:$J55,Transaksi!$G$6:$G55,Pengaturan!$F$20)-SUMIFS(Transaksi!$K$6:$K55,Transaksi!$G$6:$G55,Pengaturan!$F$20))</f>
        <v/>
      </c>
      <c r="J56" s="41" t="str">
        <f aca="false">IF($B56="","",H56+I56)</f>
        <v/>
      </c>
    </row>
    <row r="57" customFormat="false" ht="15" hidden="false" customHeight="false" outlineLevel="0" collapsed="false">
      <c r="B57" s="38" t="str">
        <f aca="false">IF(Transaksi!C56="","",Transaksi!C56)</f>
        <v/>
      </c>
      <c r="C57" s="39" t="str">
        <f aca="false">IF(Transaksi!C56="","",Transaksi!D56)</f>
        <v/>
      </c>
      <c r="D57" s="40" t="str">
        <f aca="false">IF(Transaksi!C56="","",Transaksi!H56)</f>
        <v/>
      </c>
      <c r="E57" s="39" t="str">
        <f aca="false">IF(Transaksi!C56="","",Transaksi!G56)</f>
        <v/>
      </c>
      <c r="F57" s="36" t="str">
        <f aca="false">IF(Transaksi!C56="","",Transaksi!J56)</f>
        <v/>
      </c>
      <c r="G57" s="36" t="str">
        <f aca="false">IF(Transaksi!C56="","",Transaksi!K56)</f>
        <v/>
      </c>
      <c r="H57" s="36" t="str">
        <f aca="false">IF($B57="","",Pengaturan!$C$10+SUMIFS(Transaksi!$J$6:$J56,Transaksi!$G$6:$G56,Pengaturan!$F$19)-SUMIFS(Transaksi!$K$6:$K56,Transaksi!$G$6:$G56,Pengaturan!$F$19))</f>
        <v/>
      </c>
      <c r="I57" s="36" t="str">
        <f aca="false">IF($B57="","",Pengaturan!$C$11+SUMIFS(Transaksi!$J$6:$J56,Transaksi!$G$6:$G56,Pengaturan!$F$20)-SUMIFS(Transaksi!$K$6:$K56,Transaksi!$G$6:$G56,Pengaturan!$F$20))</f>
        <v/>
      </c>
      <c r="J57" s="41" t="str">
        <f aca="false">IF($B57="","",H57+I57)</f>
        <v/>
      </c>
    </row>
    <row r="58" customFormat="false" ht="15" hidden="false" customHeight="false" outlineLevel="0" collapsed="false">
      <c r="B58" s="38" t="str">
        <f aca="false">IF(Transaksi!C57="","",Transaksi!C57)</f>
        <v/>
      </c>
      <c r="C58" s="39" t="str">
        <f aca="false">IF(Transaksi!C57="","",Transaksi!D57)</f>
        <v/>
      </c>
      <c r="D58" s="40" t="str">
        <f aca="false">IF(Transaksi!C57="","",Transaksi!H57)</f>
        <v/>
      </c>
      <c r="E58" s="39" t="str">
        <f aca="false">IF(Transaksi!C57="","",Transaksi!G57)</f>
        <v/>
      </c>
      <c r="F58" s="36" t="str">
        <f aca="false">IF(Transaksi!C57="","",Transaksi!J57)</f>
        <v/>
      </c>
      <c r="G58" s="36" t="str">
        <f aca="false">IF(Transaksi!C57="","",Transaksi!K57)</f>
        <v/>
      </c>
      <c r="H58" s="36" t="str">
        <f aca="false">IF($B58="","",Pengaturan!$C$10+SUMIFS(Transaksi!$J$6:$J57,Transaksi!$G$6:$G57,Pengaturan!$F$19)-SUMIFS(Transaksi!$K$6:$K57,Transaksi!$G$6:$G57,Pengaturan!$F$19))</f>
        <v/>
      </c>
      <c r="I58" s="36" t="str">
        <f aca="false">IF($B58="","",Pengaturan!$C$11+SUMIFS(Transaksi!$J$6:$J57,Transaksi!$G$6:$G57,Pengaturan!$F$20)-SUMIFS(Transaksi!$K$6:$K57,Transaksi!$G$6:$G57,Pengaturan!$F$20))</f>
        <v/>
      </c>
      <c r="J58" s="41" t="str">
        <f aca="false">IF($B58="","",H58+I58)</f>
        <v/>
      </c>
    </row>
    <row r="59" customFormat="false" ht="15" hidden="false" customHeight="false" outlineLevel="0" collapsed="false">
      <c r="B59" s="38" t="str">
        <f aca="false">IF(Transaksi!C58="","",Transaksi!C58)</f>
        <v/>
      </c>
      <c r="C59" s="39" t="str">
        <f aca="false">IF(Transaksi!C58="","",Transaksi!D58)</f>
        <v/>
      </c>
      <c r="D59" s="40" t="str">
        <f aca="false">IF(Transaksi!C58="","",Transaksi!H58)</f>
        <v/>
      </c>
      <c r="E59" s="39" t="str">
        <f aca="false">IF(Transaksi!C58="","",Transaksi!G58)</f>
        <v/>
      </c>
      <c r="F59" s="36" t="str">
        <f aca="false">IF(Transaksi!C58="","",Transaksi!J58)</f>
        <v/>
      </c>
      <c r="G59" s="36" t="str">
        <f aca="false">IF(Transaksi!C58="","",Transaksi!K58)</f>
        <v/>
      </c>
      <c r="H59" s="36" t="str">
        <f aca="false">IF($B59="","",Pengaturan!$C$10+SUMIFS(Transaksi!$J$6:$J58,Transaksi!$G$6:$G58,Pengaturan!$F$19)-SUMIFS(Transaksi!$K$6:$K58,Transaksi!$G$6:$G58,Pengaturan!$F$19))</f>
        <v/>
      </c>
      <c r="I59" s="36" t="str">
        <f aca="false">IF($B59="","",Pengaturan!$C$11+SUMIFS(Transaksi!$J$6:$J58,Transaksi!$G$6:$G58,Pengaturan!$F$20)-SUMIFS(Transaksi!$K$6:$K58,Transaksi!$G$6:$G58,Pengaturan!$F$20))</f>
        <v/>
      </c>
      <c r="J59" s="41" t="str">
        <f aca="false">IF($B59="","",H59+I59)</f>
        <v/>
      </c>
    </row>
    <row r="60" customFormat="false" ht="15" hidden="false" customHeight="false" outlineLevel="0" collapsed="false">
      <c r="B60" s="38" t="str">
        <f aca="false">IF(Transaksi!C59="","",Transaksi!C59)</f>
        <v/>
      </c>
      <c r="C60" s="39" t="str">
        <f aca="false">IF(Transaksi!C59="","",Transaksi!D59)</f>
        <v/>
      </c>
      <c r="D60" s="40" t="str">
        <f aca="false">IF(Transaksi!C59="","",Transaksi!H59)</f>
        <v/>
      </c>
      <c r="E60" s="39" t="str">
        <f aca="false">IF(Transaksi!C59="","",Transaksi!G59)</f>
        <v/>
      </c>
      <c r="F60" s="36" t="str">
        <f aca="false">IF(Transaksi!C59="","",Transaksi!J59)</f>
        <v/>
      </c>
      <c r="G60" s="36" t="str">
        <f aca="false">IF(Transaksi!C59="","",Transaksi!K59)</f>
        <v/>
      </c>
      <c r="H60" s="36" t="str">
        <f aca="false">IF($B60="","",Pengaturan!$C$10+SUMIFS(Transaksi!$J$6:$J59,Transaksi!$G$6:$G59,Pengaturan!$F$19)-SUMIFS(Transaksi!$K$6:$K59,Transaksi!$G$6:$G59,Pengaturan!$F$19))</f>
        <v/>
      </c>
      <c r="I60" s="36" t="str">
        <f aca="false">IF($B60="","",Pengaturan!$C$11+SUMIFS(Transaksi!$J$6:$J59,Transaksi!$G$6:$G59,Pengaturan!$F$20)-SUMIFS(Transaksi!$K$6:$K59,Transaksi!$G$6:$G59,Pengaturan!$F$20))</f>
        <v/>
      </c>
      <c r="J60" s="41" t="str">
        <f aca="false">IF($B60="","",H60+I60)</f>
        <v/>
      </c>
    </row>
    <row r="61" customFormat="false" ht="15" hidden="false" customHeight="false" outlineLevel="0" collapsed="false">
      <c r="B61" s="38" t="str">
        <f aca="false">IF(Transaksi!C60="","",Transaksi!C60)</f>
        <v/>
      </c>
      <c r="C61" s="39" t="str">
        <f aca="false">IF(Transaksi!C60="","",Transaksi!D60)</f>
        <v/>
      </c>
      <c r="D61" s="40" t="str">
        <f aca="false">IF(Transaksi!C60="","",Transaksi!H60)</f>
        <v/>
      </c>
      <c r="E61" s="39" t="str">
        <f aca="false">IF(Transaksi!C60="","",Transaksi!G60)</f>
        <v/>
      </c>
      <c r="F61" s="36" t="str">
        <f aca="false">IF(Transaksi!C60="","",Transaksi!J60)</f>
        <v/>
      </c>
      <c r="G61" s="36" t="str">
        <f aca="false">IF(Transaksi!C60="","",Transaksi!K60)</f>
        <v/>
      </c>
      <c r="H61" s="36" t="str">
        <f aca="false">IF($B61="","",Pengaturan!$C$10+SUMIFS(Transaksi!$J$6:$J60,Transaksi!$G$6:$G60,Pengaturan!$F$19)-SUMIFS(Transaksi!$K$6:$K60,Transaksi!$G$6:$G60,Pengaturan!$F$19))</f>
        <v/>
      </c>
      <c r="I61" s="36" t="str">
        <f aca="false">IF($B61="","",Pengaturan!$C$11+SUMIFS(Transaksi!$J$6:$J60,Transaksi!$G$6:$G60,Pengaturan!$F$20)-SUMIFS(Transaksi!$K$6:$K60,Transaksi!$G$6:$G60,Pengaturan!$F$20))</f>
        <v/>
      </c>
      <c r="J61" s="41" t="str">
        <f aca="false">IF($B61="","",H61+I61)</f>
        <v/>
      </c>
    </row>
    <row r="62" customFormat="false" ht="15" hidden="false" customHeight="false" outlineLevel="0" collapsed="false">
      <c r="B62" s="38" t="str">
        <f aca="false">IF(Transaksi!C61="","",Transaksi!C61)</f>
        <v/>
      </c>
      <c r="C62" s="39" t="str">
        <f aca="false">IF(Transaksi!C61="","",Transaksi!D61)</f>
        <v/>
      </c>
      <c r="D62" s="40" t="str">
        <f aca="false">IF(Transaksi!C61="","",Transaksi!H61)</f>
        <v/>
      </c>
      <c r="E62" s="39" t="str">
        <f aca="false">IF(Transaksi!C61="","",Transaksi!G61)</f>
        <v/>
      </c>
      <c r="F62" s="36" t="str">
        <f aca="false">IF(Transaksi!C61="","",Transaksi!J61)</f>
        <v/>
      </c>
      <c r="G62" s="36" t="str">
        <f aca="false">IF(Transaksi!C61="","",Transaksi!K61)</f>
        <v/>
      </c>
      <c r="H62" s="36" t="str">
        <f aca="false">IF($B62="","",Pengaturan!$C$10+SUMIFS(Transaksi!$J$6:$J61,Transaksi!$G$6:$G61,Pengaturan!$F$19)-SUMIFS(Transaksi!$K$6:$K61,Transaksi!$G$6:$G61,Pengaturan!$F$19))</f>
        <v/>
      </c>
      <c r="I62" s="36" t="str">
        <f aca="false">IF($B62="","",Pengaturan!$C$11+SUMIFS(Transaksi!$J$6:$J61,Transaksi!$G$6:$G61,Pengaturan!$F$20)-SUMIFS(Transaksi!$K$6:$K61,Transaksi!$G$6:$G61,Pengaturan!$F$20))</f>
        <v/>
      </c>
      <c r="J62" s="41" t="str">
        <f aca="false">IF($B62="","",H62+I62)</f>
        <v/>
      </c>
    </row>
    <row r="63" customFormat="false" ht="15" hidden="false" customHeight="false" outlineLevel="0" collapsed="false">
      <c r="B63" s="38" t="str">
        <f aca="false">IF(Transaksi!C62="","",Transaksi!C62)</f>
        <v/>
      </c>
      <c r="C63" s="39" t="str">
        <f aca="false">IF(Transaksi!C62="","",Transaksi!D62)</f>
        <v/>
      </c>
      <c r="D63" s="40" t="str">
        <f aca="false">IF(Transaksi!C62="","",Transaksi!H62)</f>
        <v/>
      </c>
      <c r="E63" s="39" t="str">
        <f aca="false">IF(Transaksi!C62="","",Transaksi!G62)</f>
        <v/>
      </c>
      <c r="F63" s="36" t="str">
        <f aca="false">IF(Transaksi!C62="","",Transaksi!J62)</f>
        <v/>
      </c>
      <c r="G63" s="36" t="str">
        <f aca="false">IF(Transaksi!C62="","",Transaksi!K62)</f>
        <v/>
      </c>
      <c r="H63" s="36" t="str">
        <f aca="false">IF($B63="","",Pengaturan!$C$10+SUMIFS(Transaksi!$J$6:$J62,Transaksi!$G$6:$G62,Pengaturan!$F$19)-SUMIFS(Transaksi!$K$6:$K62,Transaksi!$G$6:$G62,Pengaturan!$F$19))</f>
        <v/>
      </c>
      <c r="I63" s="36" t="str">
        <f aca="false">IF($B63="","",Pengaturan!$C$11+SUMIFS(Transaksi!$J$6:$J62,Transaksi!$G$6:$G62,Pengaturan!$F$20)-SUMIFS(Transaksi!$K$6:$K62,Transaksi!$G$6:$G62,Pengaturan!$F$20))</f>
        <v/>
      </c>
      <c r="J63" s="41" t="str">
        <f aca="false">IF($B63="","",H63+I63)</f>
        <v/>
      </c>
    </row>
    <row r="64" customFormat="false" ht="15" hidden="false" customHeight="false" outlineLevel="0" collapsed="false">
      <c r="B64" s="38" t="str">
        <f aca="false">IF(Transaksi!C63="","",Transaksi!C63)</f>
        <v/>
      </c>
      <c r="C64" s="39" t="str">
        <f aca="false">IF(Transaksi!C63="","",Transaksi!D63)</f>
        <v/>
      </c>
      <c r="D64" s="40" t="str">
        <f aca="false">IF(Transaksi!C63="","",Transaksi!H63)</f>
        <v/>
      </c>
      <c r="E64" s="39" t="str">
        <f aca="false">IF(Transaksi!C63="","",Transaksi!G63)</f>
        <v/>
      </c>
      <c r="F64" s="36" t="str">
        <f aca="false">IF(Transaksi!C63="","",Transaksi!J63)</f>
        <v/>
      </c>
      <c r="G64" s="36" t="str">
        <f aca="false">IF(Transaksi!C63="","",Transaksi!K63)</f>
        <v/>
      </c>
      <c r="H64" s="36" t="str">
        <f aca="false">IF($B64="","",Pengaturan!$C$10+SUMIFS(Transaksi!$J$6:$J63,Transaksi!$G$6:$G63,Pengaturan!$F$19)-SUMIFS(Transaksi!$K$6:$K63,Transaksi!$G$6:$G63,Pengaturan!$F$19))</f>
        <v/>
      </c>
      <c r="I64" s="36" t="str">
        <f aca="false">IF($B64="","",Pengaturan!$C$11+SUMIFS(Transaksi!$J$6:$J63,Transaksi!$G$6:$G63,Pengaturan!$F$20)-SUMIFS(Transaksi!$K$6:$K63,Transaksi!$G$6:$G63,Pengaturan!$F$20))</f>
        <v/>
      </c>
      <c r="J64" s="41" t="str">
        <f aca="false">IF($B64="","",H64+I64)</f>
        <v/>
      </c>
    </row>
    <row r="65" customFormat="false" ht="15" hidden="false" customHeight="false" outlineLevel="0" collapsed="false">
      <c r="B65" s="38" t="str">
        <f aca="false">IF(Transaksi!C64="","",Transaksi!C64)</f>
        <v/>
      </c>
      <c r="C65" s="39" t="str">
        <f aca="false">IF(Transaksi!C64="","",Transaksi!D64)</f>
        <v/>
      </c>
      <c r="D65" s="40" t="str">
        <f aca="false">IF(Transaksi!C64="","",Transaksi!H64)</f>
        <v/>
      </c>
      <c r="E65" s="39" t="str">
        <f aca="false">IF(Transaksi!C64="","",Transaksi!G64)</f>
        <v/>
      </c>
      <c r="F65" s="36" t="str">
        <f aca="false">IF(Transaksi!C64="","",Transaksi!J64)</f>
        <v/>
      </c>
      <c r="G65" s="36" t="str">
        <f aca="false">IF(Transaksi!C64="","",Transaksi!K64)</f>
        <v/>
      </c>
      <c r="H65" s="36" t="str">
        <f aca="false">IF($B65="","",Pengaturan!$C$10+SUMIFS(Transaksi!$J$6:$J64,Transaksi!$G$6:$G64,Pengaturan!$F$19)-SUMIFS(Transaksi!$K$6:$K64,Transaksi!$G$6:$G64,Pengaturan!$F$19))</f>
        <v/>
      </c>
      <c r="I65" s="36" t="str">
        <f aca="false">IF($B65="","",Pengaturan!$C$11+SUMIFS(Transaksi!$J$6:$J64,Transaksi!$G$6:$G64,Pengaturan!$F$20)-SUMIFS(Transaksi!$K$6:$K64,Transaksi!$G$6:$G64,Pengaturan!$F$20))</f>
        <v/>
      </c>
      <c r="J65" s="41" t="str">
        <f aca="false">IF($B65="","",H65+I65)</f>
        <v/>
      </c>
    </row>
    <row r="66" customFormat="false" ht="15" hidden="false" customHeight="false" outlineLevel="0" collapsed="false">
      <c r="B66" s="38" t="str">
        <f aca="false">IF(Transaksi!C65="","",Transaksi!C65)</f>
        <v/>
      </c>
      <c r="C66" s="39" t="str">
        <f aca="false">IF(Transaksi!C65="","",Transaksi!D65)</f>
        <v/>
      </c>
      <c r="D66" s="40" t="str">
        <f aca="false">IF(Transaksi!C65="","",Transaksi!H65)</f>
        <v/>
      </c>
      <c r="E66" s="39" t="str">
        <f aca="false">IF(Transaksi!C65="","",Transaksi!G65)</f>
        <v/>
      </c>
      <c r="F66" s="36" t="str">
        <f aca="false">IF(Transaksi!C65="","",Transaksi!J65)</f>
        <v/>
      </c>
      <c r="G66" s="36" t="str">
        <f aca="false">IF(Transaksi!C65="","",Transaksi!K65)</f>
        <v/>
      </c>
      <c r="H66" s="36" t="str">
        <f aca="false">IF($B66="","",Pengaturan!$C$10+SUMIFS(Transaksi!$J$6:$J65,Transaksi!$G$6:$G65,Pengaturan!$F$19)-SUMIFS(Transaksi!$K$6:$K65,Transaksi!$G$6:$G65,Pengaturan!$F$19))</f>
        <v/>
      </c>
      <c r="I66" s="36" t="str">
        <f aca="false">IF($B66="","",Pengaturan!$C$11+SUMIFS(Transaksi!$J$6:$J65,Transaksi!$G$6:$G65,Pengaturan!$F$20)-SUMIFS(Transaksi!$K$6:$K65,Transaksi!$G$6:$G65,Pengaturan!$F$20))</f>
        <v/>
      </c>
      <c r="J66" s="41" t="str">
        <f aca="false">IF($B66="","",H66+I66)</f>
        <v/>
      </c>
    </row>
    <row r="67" customFormat="false" ht="15" hidden="false" customHeight="false" outlineLevel="0" collapsed="false">
      <c r="B67" s="38" t="str">
        <f aca="false">IF(Transaksi!C66="","",Transaksi!C66)</f>
        <v/>
      </c>
      <c r="C67" s="39" t="str">
        <f aca="false">IF(Transaksi!C66="","",Transaksi!D66)</f>
        <v/>
      </c>
      <c r="D67" s="40" t="str">
        <f aca="false">IF(Transaksi!C66="","",Transaksi!H66)</f>
        <v/>
      </c>
      <c r="E67" s="39" t="str">
        <f aca="false">IF(Transaksi!C66="","",Transaksi!G66)</f>
        <v/>
      </c>
      <c r="F67" s="36" t="str">
        <f aca="false">IF(Transaksi!C66="","",Transaksi!J66)</f>
        <v/>
      </c>
      <c r="G67" s="36" t="str">
        <f aca="false">IF(Transaksi!C66="","",Transaksi!K66)</f>
        <v/>
      </c>
      <c r="H67" s="36" t="str">
        <f aca="false">IF($B67="","",Pengaturan!$C$10+SUMIFS(Transaksi!$J$6:$J66,Transaksi!$G$6:$G66,Pengaturan!$F$19)-SUMIFS(Transaksi!$K$6:$K66,Transaksi!$G$6:$G66,Pengaturan!$F$19))</f>
        <v/>
      </c>
      <c r="I67" s="36" t="str">
        <f aca="false">IF($B67="","",Pengaturan!$C$11+SUMIFS(Transaksi!$J$6:$J66,Transaksi!$G$6:$G66,Pengaturan!$F$20)-SUMIFS(Transaksi!$K$6:$K66,Transaksi!$G$6:$G66,Pengaturan!$F$20))</f>
        <v/>
      </c>
      <c r="J67" s="41" t="str">
        <f aca="false">IF($B67="","",H67+I67)</f>
        <v/>
      </c>
    </row>
    <row r="68" customFormat="false" ht="15" hidden="false" customHeight="false" outlineLevel="0" collapsed="false">
      <c r="B68" s="38" t="str">
        <f aca="false">IF(Transaksi!C67="","",Transaksi!C67)</f>
        <v/>
      </c>
      <c r="C68" s="39" t="str">
        <f aca="false">IF(Transaksi!C67="","",Transaksi!D67)</f>
        <v/>
      </c>
      <c r="D68" s="40" t="str">
        <f aca="false">IF(Transaksi!C67="","",Transaksi!H67)</f>
        <v/>
      </c>
      <c r="E68" s="39" t="str">
        <f aca="false">IF(Transaksi!C67="","",Transaksi!G67)</f>
        <v/>
      </c>
      <c r="F68" s="36" t="str">
        <f aca="false">IF(Transaksi!C67="","",Transaksi!J67)</f>
        <v/>
      </c>
      <c r="G68" s="36" t="str">
        <f aca="false">IF(Transaksi!C67="","",Transaksi!K67)</f>
        <v/>
      </c>
      <c r="H68" s="36" t="str">
        <f aca="false">IF($B68="","",Pengaturan!$C$10+SUMIFS(Transaksi!$J$6:$J67,Transaksi!$G$6:$G67,Pengaturan!$F$19)-SUMIFS(Transaksi!$K$6:$K67,Transaksi!$G$6:$G67,Pengaturan!$F$19))</f>
        <v/>
      </c>
      <c r="I68" s="36" t="str">
        <f aca="false">IF($B68="","",Pengaturan!$C$11+SUMIFS(Transaksi!$J$6:$J67,Transaksi!$G$6:$G67,Pengaturan!$F$20)-SUMIFS(Transaksi!$K$6:$K67,Transaksi!$G$6:$G67,Pengaturan!$F$20))</f>
        <v/>
      </c>
      <c r="J68" s="41" t="str">
        <f aca="false">IF($B68="","",H68+I68)</f>
        <v/>
      </c>
    </row>
    <row r="69" customFormat="false" ht="15" hidden="false" customHeight="false" outlineLevel="0" collapsed="false">
      <c r="B69" s="38" t="str">
        <f aca="false">IF(Transaksi!C68="","",Transaksi!C68)</f>
        <v/>
      </c>
      <c r="C69" s="39" t="str">
        <f aca="false">IF(Transaksi!C68="","",Transaksi!D68)</f>
        <v/>
      </c>
      <c r="D69" s="40" t="str">
        <f aca="false">IF(Transaksi!C68="","",Transaksi!H68)</f>
        <v/>
      </c>
      <c r="E69" s="39" t="str">
        <f aca="false">IF(Transaksi!C68="","",Transaksi!G68)</f>
        <v/>
      </c>
      <c r="F69" s="36" t="str">
        <f aca="false">IF(Transaksi!C68="","",Transaksi!J68)</f>
        <v/>
      </c>
      <c r="G69" s="36" t="str">
        <f aca="false">IF(Transaksi!C68="","",Transaksi!K68)</f>
        <v/>
      </c>
      <c r="H69" s="36" t="str">
        <f aca="false">IF($B69="","",Pengaturan!$C$10+SUMIFS(Transaksi!$J$6:$J68,Transaksi!$G$6:$G68,Pengaturan!$F$19)-SUMIFS(Transaksi!$K$6:$K68,Transaksi!$G$6:$G68,Pengaturan!$F$19))</f>
        <v/>
      </c>
      <c r="I69" s="36" t="str">
        <f aca="false">IF($B69="","",Pengaturan!$C$11+SUMIFS(Transaksi!$J$6:$J68,Transaksi!$G$6:$G68,Pengaturan!$F$20)-SUMIFS(Transaksi!$K$6:$K68,Transaksi!$G$6:$G68,Pengaturan!$F$20))</f>
        <v/>
      </c>
      <c r="J69" s="41" t="str">
        <f aca="false">IF($B69="","",H69+I69)</f>
        <v/>
      </c>
    </row>
    <row r="70" customFormat="false" ht="15" hidden="false" customHeight="false" outlineLevel="0" collapsed="false">
      <c r="B70" s="38" t="str">
        <f aca="false">IF(Transaksi!C69="","",Transaksi!C69)</f>
        <v/>
      </c>
      <c r="C70" s="39" t="str">
        <f aca="false">IF(Transaksi!C69="","",Transaksi!D69)</f>
        <v/>
      </c>
      <c r="D70" s="40" t="str">
        <f aca="false">IF(Transaksi!C69="","",Transaksi!H69)</f>
        <v/>
      </c>
      <c r="E70" s="39" t="str">
        <f aca="false">IF(Transaksi!C69="","",Transaksi!G69)</f>
        <v/>
      </c>
      <c r="F70" s="36" t="str">
        <f aca="false">IF(Transaksi!C69="","",Transaksi!J69)</f>
        <v/>
      </c>
      <c r="G70" s="36" t="str">
        <f aca="false">IF(Transaksi!C69="","",Transaksi!K69)</f>
        <v/>
      </c>
      <c r="H70" s="36" t="str">
        <f aca="false">IF($B70="","",Pengaturan!$C$10+SUMIFS(Transaksi!$J$6:$J69,Transaksi!$G$6:$G69,Pengaturan!$F$19)-SUMIFS(Transaksi!$K$6:$K69,Transaksi!$G$6:$G69,Pengaturan!$F$19))</f>
        <v/>
      </c>
      <c r="I70" s="36" t="str">
        <f aca="false">IF($B70="","",Pengaturan!$C$11+SUMIFS(Transaksi!$J$6:$J69,Transaksi!$G$6:$G69,Pengaturan!$F$20)-SUMIFS(Transaksi!$K$6:$K69,Transaksi!$G$6:$G69,Pengaturan!$F$20))</f>
        <v/>
      </c>
      <c r="J70" s="41" t="str">
        <f aca="false">IF($B70="","",H70+I70)</f>
        <v/>
      </c>
    </row>
    <row r="71" customFormat="false" ht="15" hidden="false" customHeight="false" outlineLevel="0" collapsed="false">
      <c r="B71" s="38" t="str">
        <f aca="false">IF(Transaksi!C70="","",Transaksi!C70)</f>
        <v/>
      </c>
      <c r="C71" s="39" t="str">
        <f aca="false">IF(Transaksi!C70="","",Transaksi!D70)</f>
        <v/>
      </c>
      <c r="D71" s="40" t="str">
        <f aca="false">IF(Transaksi!C70="","",Transaksi!H70)</f>
        <v/>
      </c>
      <c r="E71" s="39" t="str">
        <f aca="false">IF(Transaksi!C70="","",Transaksi!G70)</f>
        <v/>
      </c>
      <c r="F71" s="36" t="str">
        <f aca="false">IF(Transaksi!C70="","",Transaksi!J70)</f>
        <v/>
      </c>
      <c r="G71" s="36" t="str">
        <f aca="false">IF(Transaksi!C70="","",Transaksi!K70)</f>
        <v/>
      </c>
      <c r="H71" s="36" t="str">
        <f aca="false">IF($B71="","",Pengaturan!$C$10+SUMIFS(Transaksi!$J$6:$J70,Transaksi!$G$6:$G70,Pengaturan!$F$19)-SUMIFS(Transaksi!$K$6:$K70,Transaksi!$G$6:$G70,Pengaturan!$F$19))</f>
        <v/>
      </c>
      <c r="I71" s="36" t="str">
        <f aca="false">IF($B71="","",Pengaturan!$C$11+SUMIFS(Transaksi!$J$6:$J70,Transaksi!$G$6:$G70,Pengaturan!$F$20)-SUMIFS(Transaksi!$K$6:$K70,Transaksi!$G$6:$G70,Pengaturan!$F$20))</f>
        <v/>
      </c>
      <c r="J71" s="41" t="str">
        <f aca="false">IF($B71="","",H71+I71)</f>
        <v/>
      </c>
    </row>
    <row r="72" customFormat="false" ht="15" hidden="false" customHeight="false" outlineLevel="0" collapsed="false">
      <c r="B72" s="38" t="str">
        <f aca="false">IF(Transaksi!C71="","",Transaksi!C71)</f>
        <v/>
      </c>
      <c r="C72" s="39" t="str">
        <f aca="false">IF(Transaksi!C71="","",Transaksi!D71)</f>
        <v/>
      </c>
      <c r="D72" s="40" t="str">
        <f aca="false">IF(Transaksi!C71="","",Transaksi!H71)</f>
        <v/>
      </c>
      <c r="E72" s="39" t="str">
        <f aca="false">IF(Transaksi!C71="","",Transaksi!G71)</f>
        <v/>
      </c>
      <c r="F72" s="36" t="str">
        <f aca="false">IF(Transaksi!C71="","",Transaksi!J71)</f>
        <v/>
      </c>
      <c r="G72" s="36" t="str">
        <f aca="false">IF(Transaksi!C71="","",Transaksi!K71)</f>
        <v/>
      </c>
      <c r="H72" s="36" t="str">
        <f aca="false">IF($B72="","",Pengaturan!$C$10+SUMIFS(Transaksi!$J$6:$J71,Transaksi!$G$6:$G71,Pengaturan!$F$19)-SUMIFS(Transaksi!$K$6:$K71,Transaksi!$G$6:$G71,Pengaturan!$F$19))</f>
        <v/>
      </c>
      <c r="I72" s="36" t="str">
        <f aca="false">IF($B72="","",Pengaturan!$C$11+SUMIFS(Transaksi!$J$6:$J71,Transaksi!$G$6:$G71,Pengaturan!$F$20)-SUMIFS(Transaksi!$K$6:$K71,Transaksi!$G$6:$G71,Pengaturan!$F$20))</f>
        <v/>
      </c>
      <c r="J72" s="41" t="str">
        <f aca="false">IF($B72="","",H72+I72)</f>
        <v/>
      </c>
    </row>
    <row r="73" customFormat="false" ht="15" hidden="false" customHeight="false" outlineLevel="0" collapsed="false">
      <c r="B73" s="38" t="str">
        <f aca="false">IF(Transaksi!C72="","",Transaksi!C72)</f>
        <v/>
      </c>
      <c r="C73" s="39" t="str">
        <f aca="false">IF(Transaksi!C72="","",Transaksi!D72)</f>
        <v/>
      </c>
      <c r="D73" s="40" t="str">
        <f aca="false">IF(Transaksi!C72="","",Transaksi!H72)</f>
        <v/>
      </c>
      <c r="E73" s="39" t="str">
        <f aca="false">IF(Transaksi!C72="","",Transaksi!G72)</f>
        <v/>
      </c>
      <c r="F73" s="36" t="str">
        <f aca="false">IF(Transaksi!C72="","",Transaksi!J72)</f>
        <v/>
      </c>
      <c r="G73" s="36" t="str">
        <f aca="false">IF(Transaksi!C72="","",Transaksi!K72)</f>
        <v/>
      </c>
      <c r="H73" s="36" t="str">
        <f aca="false">IF($B73="","",Pengaturan!$C$10+SUMIFS(Transaksi!$J$6:$J72,Transaksi!$G$6:$G72,Pengaturan!$F$19)-SUMIFS(Transaksi!$K$6:$K72,Transaksi!$G$6:$G72,Pengaturan!$F$19))</f>
        <v/>
      </c>
      <c r="I73" s="36" t="str">
        <f aca="false">IF($B73="","",Pengaturan!$C$11+SUMIFS(Transaksi!$J$6:$J72,Transaksi!$G$6:$G72,Pengaturan!$F$20)-SUMIFS(Transaksi!$K$6:$K72,Transaksi!$G$6:$G72,Pengaturan!$F$20))</f>
        <v/>
      </c>
      <c r="J73" s="41" t="str">
        <f aca="false">IF($B73="","",H73+I73)</f>
        <v/>
      </c>
    </row>
    <row r="74" customFormat="false" ht="15" hidden="false" customHeight="false" outlineLevel="0" collapsed="false">
      <c r="B74" s="38" t="str">
        <f aca="false">IF(Transaksi!C73="","",Transaksi!C73)</f>
        <v/>
      </c>
      <c r="C74" s="39" t="str">
        <f aca="false">IF(Transaksi!C73="","",Transaksi!D73)</f>
        <v/>
      </c>
      <c r="D74" s="40" t="str">
        <f aca="false">IF(Transaksi!C73="","",Transaksi!H73)</f>
        <v/>
      </c>
      <c r="E74" s="39" t="str">
        <f aca="false">IF(Transaksi!C73="","",Transaksi!G73)</f>
        <v/>
      </c>
      <c r="F74" s="36" t="str">
        <f aca="false">IF(Transaksi!C73="","",Transaksi!J73)</f>
        <v/>
      </c>
      <c r="G74" s="36" t="str">
        <f aca="false">IF(Transaksi!C73="","",Transaksi!K73)</f>
        <v/>
      </c>
      <c r="H74" s="36" t="str">
        <f aca="false">IF($B74="","",Pengaturan!$C$10+SUMIFS(Transaksi!$J$6:$J73,Transaksi!$G$6:$G73,Pengaturan!$F$19)-SUMIFS(Transaksi!$K$6:$K73,Transaksi!$G$6:$G73,Pengaturan!$F$19))</f>
        <v/>
      </c>
      <c r="I74" s="36" t="str">
        <f aca="false">IF($B74="","",Pengaturan!$C$11+SUMIFS(Transaksi!$J$6:$J73,Transaksi!$G$6:$G73,Pengaturan!$F$20)-SUMIFS(Transaksi!$K$6:$K73,Transaksi!$G$6:$G73,Pengaturan!$F$20))</f>
        <v/>
      </c>
      <c r="J74" s="41" t="str">
        <f aca="false">IF($B74="","",H74+I74)</f>
        <v/>
      </c>
    </row>
    <row r="75" customFormat="false" ht="15" hidden="false" customHeight="false" outlineLevel="0" collapsed="false">
      <c r="B75" s="38" t="str">
        <f aca="false">IF(Transaksi!C74="","",Transaksi!C74)</f>
        <v/>
      </c>
      <c r="C75" s="39" t="str">
        <f aca="false">IF(Transaksi!C74="","",Transaksi!D74)</f>
        <v/>
      </c>
      <c r="D75" s="40" t="str">
        <f aca="false">IF(Transaksi!C74="","",Transaksi!H74)</f>
        <v/>
      </c>
      <c r="E75" s="39" t="str">
        <f aca="false">IF(Transaksi!C74="","",Transaksi!G74)</f>
        <v/>
      </c>
      <c r="F75" s="36" t="str">
        <f aca="false">IF(Transaksi!C74="","",Transaksi!J74)</f>
        <v/>
      </c>
      <c r="G75" s="36" t="str">
        <f aca="false">IF(Transaksi!C74="","",Transaksi!K74)</f>
        <v/>
      </c>
      <c r="H75" s="36" t="str">
        <f aca="false">IF($B75="","",Pengaturan!$C$10+SUMIFS(Transaksi!$J$6:$J74,Transaksi!$G$6:$G74,Pengaturan!$F$19)-SUMIFS(Transaksi!$K$6:$K74,Transaksi!$G$6:$G74,Pengaturan!$F$19))</f>
        <v/>
      </c>
      <c r="I75" s="36" t="str">
        <f aca="false">IF($B75="","",Pengaturan!$C$11+SUMIFS(Transaksi!$J$6:$J74,Transaksi!$G$6:$G74,Pengaturan!$F$20)-SUMIFS(Transaksi!$K$6:$K74,Transaksi!$G$6:$G74,Pengaturan!$F$20))</f>
        <v/>
      </c>
      <c r="J75" s="41" t="str">
        <f aca="false">IF($B75="","",H75+I75)</f>
        <v/>
      </c>
    </row>
    <row r="76" customFormat="false" ht="15" hidden="false" customHeight="false" outlineLevel="0" collapsed="false">
      <c r="B76" s="38" t="str">
        <f aca="false">IF(Transaksi!C75="","",Transaksi!C75)</f>
        <v/>
      </c>
      <c r="C76" s="39" t="str">
        <f aca="false">IF(Transaksi!C75="","",Transaksi!D75)</f>
        <v/>
      </c>
      <c r="D76" s="40" t="str">
        <f aca="false">IF(Transaksi!C75="","",Transaksi!H75)</f>
        <v/>
      </c>
      <c r="E76" s="39" t="str">
        <f aca="false">IF(Transaksi!C75="","",Transaksi!G75)</f>
        <v/>
      </c>
      <c r="F76" s="36" t="str">
        <f aca="false">IF(Transaksi!C75="","",Transaksi!J75)</f>
        <v/>
      </c>
      <c r="G76" s="36" t="str">
        <f aca="false">IF(Transaksi!C75="","",Transaksi!K75)</f>
        <v/>
      </c>
      <c r="H76" s="36" t="str">
        <f aca="false">IF($B76="","",Pengaturan!$C$10+SUMIFS(Transaksi!$J$6:$J75,Transaksi!$G$6:$G75,Pengaturan!$F$19)-SUMIFS(Transaksi!$K$6:$K75,Transaksi!$G$6:$G75,Pengaturan!$F$19))</f>
        <v/>
      </c>
      <c r="I76" s="36" t="str">
        <f aca="false">IF($B76="","",Pengaturan!$C$11+SUMIFS(Transaksi!$J$6:$J75,Transaksi!$G$6:$G75,Pengaturan!$F$20)-SUMIFS(Transaksi!$K$6:$K75,Transaksi!$G$6:$G75,Pengaturan!$F$20))</f>
        <v/>
      </c>
      <c r="J76" s="41" t="str">
        <f aca="false">IF($B76="","",H76+I76)</f>
        <v/>
      </c>
    </row>
    <row r="77" customFormat="false" ht="15" hidden="false" customHeight="false" outlineLevel="0" collapsed="false">
      <c r="B77" s="38" t="str">
        <f aca="false">IF(Transaksi!C76="","",Transaksi!C76)</f>
        <v/>
      </c>
      <c r="C77" s="39" t="str">
        <f aca="false">IF(Transaksi!C76="","",Transaksi!D76)</f>
        <v/>
      </c>
      <c r="D77" s="40" t="str">
        <f aca="false">IF(Transaksi!C76="","",Transaksi!H76)</f>
        <v/>
      </c>
      <c r="E77" s="39" t="str">
        <f aca="false">IF(Transaksi!C76="","",Transaksi!G76)</f>
        <v/>
      </c>
      <c r="F77" s="36" t="str">
        <f aca="false">IF(Transaksi!C76="","",Transaksi!J76)</f>
        <v/>
      </c>
      <c r="G77" s="36" t="str">
        <f aca="false">IF(Transaksi!C76="","",Transaksi!K76)</f>
        <v/>
      </c>
      <c r="H77" s="36" t="str">
        <f aca="false">IF($B77="","",Pengaturan!$C$10+SUMIFS(Transaksi!$J$6:$J76,Transaksi!$G$6:$G76,Pengaturan!$F$19)-SUMIFS(Transaksi!$K$6:$K76,Transaksi!$G$6:$G76,Pengaturan!$F$19))</f>
        <v/>
      </c>
      <c r="I77" s="36" t="str">
        <f aca="false">IF($B77="","",Pengaturan!$C$11+SUMIFS(Transaksi!$J$6:$J76,Transaksi!$G$6:$G76,Pengaturan!$F$20)-SUMIFS(Transaksi!$K$6:$K76,Transaksi!$G$6:$G76,Pengaturan!$F$20))</f>
        <v/>
      </c>
      <c r="J77" s="41" t="str">
        <f aca="false">IF($B77="","",H77+I77)</f>
        <v/>
      </c>
    </row>
    <row r="78" customFormat="false" ht="15" hidden="false" customHeight="false" outlineLevel="0" collapsed="false">
      <c r="B78" s="38" t="str">
        <f aca="false">IF(Transaksi!C77="","",Transaksi!C77)</f>
        <v/>
      </c>
      <c r="C78" s="39" t="str">
        <f aca="false">IF(Transaksi!C77="","",Transaksi!D77)</f>
        <v/>
      </c>
      <c r="D78" s="40" t="str">
        <f aca="false">IF(Transaksi!C77="","",Transaksi!H77)</f>
        <v/>
      </c>
      <c r="E78" s="39" t="str">
        <f aca="false">IF(Transaksi!C77="","",Transaksi!G77)</f>
        <v/>
      </c>
      <c r="F78" s="36" t="str">
        <f aca="false">IF(Transaksi!C77="","",Transaksi!J77)</f>
        <v/>
      </c>
      <c r="G78" s="36" t="str">
        <f aca="false">IF(Transaksi!C77="","",Transaksi!K77)</f>
        <v/>
      </c>
      <c r="H78" s="36" t="str">
        <f aca="false">IF($B78="","",Pengaturan!$C$10+SUMIFS(Transaksi!$J$6:$J77,Transaksi!$G$6:$G77,Pengaturan!$F$19)-SUMIFS(Transaksi!$K$6:$K77,Transaksi!$G$6:$G77,Pengaturan!$F$19))</f>
        <v/>
      </c>
      <c r="I78" s="36" t="str">
        <f aca="false">IF($B78="","",Pengaturan!$C$11+SUMIFS(Transaksi!$J$6:$J77,Transaksi!$G$6:$G77,Pengaturan!$F$20)-SUMIFS(Transaksi!$K$6:$K77,Transaksi!$G$6:$G77,Pengaturan!$F$20))</f>
        <v/>
      </c>
      <c r="J78" s="41" t="str">
        <f aca="false">IF($B78="","",H78+I78)</f>
        <v/>
      </c>
    </row>
    <row r="79" customFormat="false" ht="15" hidden="false" customHeight="false" outlineLevel="0" collapsed="false">
      <c r="B79" s="38" t="str">
        <f aca="false">IF(Transaksi!C78="","",Transaksi!C78)</f>
        <v/>
      </c>
      <c r="C79" s="39" t="str">
        <f aca="false">IF(Transaksi!C78="","",Transaksi!D78)</f>
        <v/>
      </c>
      <c r="D79" s="40" t="str">
        <f aca="false">IF(Transaksi!C78="","",Transaksi!H78)</f>
        <v/>
      </c>
      <c r="E79" s="39" t="str">
        <f aca="false">IF(Transaksi!C78="","",Transaksi!G78)</f>
        <v/>
      </c>
      <c r="F79" s="36" t="str">
        <f aca="false">IF(Transaksi!C78="","",Transaksi!J78)</f>
        <v/>
      </c>
      <c r="G79" s="36" t="str">
        <f aca="false">IF(Transaksi!C78="","",Transaksi!K78)</f>
        <v/>
      </c>
      <c r="H79" s="36" t="str">
        <f aca="false">IF($B79="","",Pengaturan!$C$10+SUMIFS(Transaksi!$J$6:$J78,Transaksi!$G$6:$G78,Pengaturan!$F$19)-SUMIFS(Transaksi!$K$6:$K78,Transaksi!$G$6:$G78,Pengaturan!$F$19))</f>
        <v/>
      </c>
      <c r="I79" s="36" t="str">
        <f aca="false">IF($B79="","",Pengaturan!$C$11+SUMIFS(Transaksi!$J$6:$J78,Transaksi!$G$6:$G78,Pengaturan!$F$20)-SUMIFS(Transaksi!$K$6:$K78,Transaksi!$G$6:$G78,Pengaturan!$F$20))</f>
        <v/>
      </c>
      <c r="J79" s="41" t="str">
        <f aca="false">IF($B79="","",H79+I79)</f>
        <v/>
      </c>
    </row>
    <row r="80" customFormat="false" ht="15" hidden="false" customHeight="false" outlineLevel="0" collapsed="false">
      <c r="B80" s="38" t="str">
        <f aca="false">IF(Transaksi!C79="","",Transaksi!C79)</f>
        <v/>
      </c>
      <c r="C80" s="39" t="str">
        <f aca="false">IF(Transaksi!C79="","",Transaksi!D79)</f>
        <v/>
      </c>
      <c r="D80" s="40" t="str">
        <f aca="false">IF(Transaksi!C79="","",Transaksi!H79)</f>
        <v/>
      </c>
      <c r="E80" s="39" t="str">
        <f aca="false">IF(Transaksi!C79="","",Transaksi!G79)</f>
        <v/>
      </c>
      <c r="F80" s="36" t="str">
        <f aca="false">IF(Transaksi!C79="","",Transaksi!J79)</f>
        <v/>
      </c>
      <c r="G80" s="36" t="str">
        <f aca="false">IF(Transaksi!C79="","",Transaksi!K79)</f>
        <v/>
      </c>
      <c r="H80" s="36" t="str">
        <f aca="false">IF($B80="","",Pengaturan!$C$10+SUMIFS(Transaksi!$J$6:$J79,Transaksi!$G$6:$G79,Pengaturan!$F$19)-SUMIFS(Transaksi!$K$6:$K79,Transaksi!$G$6:$G79,Pengaturan!$F$19))</f>
        <v/>
      </c>
      <c r="I80" s="36" t="str">
        <f aca="false">IF($B80="","",Pengaturan!$C$11+SUMIFS(Transaksi!$J$6:$J79,Transaksi!$G$6:$G79,Pengaturan!$F$20)-SUMIFS(Transaksi!$K$6:$K79,Transaksi!$G$6:$G79,Pengaturan!$F$20))</f>
        <v/>
      </c>
      <c r="J80" s="41" t="str">
        <f aca="false">IF($B80="","",H80+I80)</f>
        <v/>
      </c>
    </row>
    <row r="81" customFormat="false" ht="15" hidden="false" customHeight="false" outlineLevel="0" collapsed="false">
      <c r="B81" s="38" t="str">
        <f aca="false">IF(Transaksi!C80="","",Transaksi!C80)</f>
        <v/>
      </c>
      <c r="C81" s="39" t="str">
        <f aca="false">IF(Transaksi!C80="","",Transaksi!D80)</f>
        <v/>
      </c>
      <c r="D81" s="40" t="str">
        <f aca="false">IF(Transaksi!C80="","",Transaksi!H80)</f>
        <v/>
      </c>
      <c r="E81" s="39" t="str">
        <f aca="false">IF(Transaksi!C80="","",Transaksi!G80)</f>
        <v/>
      </c>
      <c r="F81" s="36" t="str">
        <f aca="false">IF(Transaksi!C80="","",Transaksi!J80)</f>
        <v/>
      </c>
      <c r="G81" s="36" t="str">
        <f aca="false">IF(Transaksi!C80="","",Transaksi!K80)</f>
        <v/>
      </c>
      <c r="H81" s="36" t="str">
        <f aca="false">IF($B81="","",Pengaturan!$C$10+SUMIFS(Transaksi!$J$6:$J80,Transaksi!$G$6:$G80,Pengaturan!$F$19)-SUMIFS(Transaksi!$K$6:$K80,Transaksi!$G$6:$G80,Pengaturan!$F$19))</f>
        <v/>
      </c>
      <c r="I81" s="36" t="str">
        <f aca="false">IF($B81="","",Pengaturan!$C$11+SUMIFS(Transaksi!$J$6:$J80,Transaksi!$G$6:$G80,Pengaturan!$F$20)-SUMIFS(Transaksi!$K$6:$K80,Transaksi!$G$6:$G80,Pengaturan!$F$20))</f>
        <v/>
      </c>
      <c r="J81" s="41" t="str">
        <f aca="false">IF($B81="","",H81+I81)</f>
        <v/>
      </c>
    </row>
    <row r="82" customFormat="false" ht="15" hidden="false" customHeight="false" outlineLevel="0" collapsed="false">
      <c r="B82" s="38" t="str">
        <f aca="false">IF(Transaksi!C81="","",Transaksi!C81)</f>
        <v/>
      </c>
      <c r="C82" s="39" t="str">
        <f aca="false">IF(Transaksi!C81="","",Transaksi!D81)</f>
        <v/>
      </c>
      <c r="D82" s="40" t="str">
        <f aca="false">IF(Transaksi!C81="","",Transaksi!H81)</f>
        <v/>
      </c>
      <c r="E82" s="39" t="str">
        <f aca="false">IF(Transaksi!C81="","",Transaksi!G81)</f>
        <v/>
      </c>
      <c r="F82" s="36" t="str">
        <f aca="false">IF(Transaksi!C81="","",Transaksi!J81)</f>
        <v/>
      </c>
      <c r="G82" s="36" t="str">
        <f aca="false">IF(Transaksi!C81="","",Transaksi!K81)</f>
        <v/>
      </c>
      <c r="H82" s="36" t="str">
        <f aca="false">IF($B82="","",Pengaturan!$C$10+SUMIFS(Transaksi!$J$6:$J81,Transaksi!$G$6:$G81,Pengaturan!$F$19)-SUMIFS(Transaksi!$K$6:$K81,Transaksi!$G$6:$G81,Pengaturan!$F$19))</f>
        <v/>
      </c>
      <c r="I82" s="36" t="str">
        <f aca="false">IF($B82="","",Pengaturan!$C$11+SUMIFS(Transaksi!$J$6:$J81,Transaksi!$G$6:$G81,Pengaturan!$F$20)-SUMIFS(Transaksi!$K$6:$K81,Transaksi!$G$6:$G81,Pengaturan!$F$20))</f>
        <v/>
      </c>
      <c r="J82" s="41" t="str">
        <f aca="false">IF($B82="","",H82+I82)</f>
        <v/>
      </c>
    </row>
    <row r="83" customFormat="false" ht="15" hidden="false" customHeight="false" outlineLevel="0" collapsed="false">
      <c r="B83" s="38" t="str">
        <f aca="false">IF(Transaksi!C82="","",Transaksi!C82)</f>
        <v/>
      </c>
      <c r="C83" s="39" t="str">
        <f aca="false">IF(Transaksi!C82="","",Transaksi!D82)</f>
        <v/>
      </c>
      <c r="D83" s="40" t="str">
        <f aca="false">IF(Transaksi!C82="","",Transaksi!H82)</f>
        <v/>
      </c>
      <c r="E83" s="39" t="str">
        <f aca="false">IF(Transaksi!C82="","",Transaksi!G82)</f>
        <v/>
      </c>
      <c r="F83" s="36" t="str">
        <f aca="false">IF(Transaksi!C82="","",Transaksi!J82)</f>
        <v/>
      </c>
      <c r="G83" s="36" t="str">
        <f aca="false">IF(Transaksi!C82="","",Transaksi!K82)</f>
        <v/>
      </c>
      <c r="H83" s="36" t="str">
        <f aca="false">IF($B83="","",Pengaturan!$C$10+SUMIFS(Transaksi!$J$6:$J82,Transaksi!$G$6:$G82,Pengaturan!$F$19)-SUMIFS(Transaksi!$K$6:$K82,Transaksi!$G$6:$G82,Pengaturan!$F$19))</f>
        <v/>
      </c>
      <c r="I83" s="36" t="str">
        <f aca="false">IF($B83="","",Pengaturan!$C$11+SUMIFS(Transaksi!$J$6:$J82,Transaksi!$G$6:$G82,Pengaturan!$F$20)-SUMIFS(Transaksi!$K$6:$K82,Transaksi!$G$6:$G82,Pengaturan!$F$20))</f>
        <v/>
      </c>
      <c r="J83" s="41" t="str">
        <f aca="false">IF($B83="","",H83+I83)</f>
        <v/>
      </c>
    </row>
    <row r="84" customFormat="false" ht="15" hidden="false" customHeight="false" outlineLevel="0" collapsed="false">
      <c r="B84" s="38" t="str">
        <f aca="false">IF(Transaksi!C83="","",Transaksi!C83)</f>
        <v/>
      </c>
      <c r="C84" s="39" t="str">
        <f aca="false">IF(Transaksi!C83="","",Transaksi!D83)</f>
        <v/>
      </c>
      <c r="D84" s="40" t="str">
        <f aca="false">IF(Transaksi!C83="","",Transaksi!H83)</f>
        <v/>
      </c>
      <c r="E84" s="39" t="str">
        <f aca="false">IF(Transaksi!C83="","",Transaksi!G83)</f>
        <v/>
      </c>
      <c r="F84" s="36" t="str">
        <f aca="false">IF(Transaksi!C83="","",Transaksi!J83)</f>
        <v/>
      </c>
      <c r="G84" s="36" t="str">
        <f aca="false">IF(Transaksi!C83="","",Transaksi!K83)</f>
        <v/>
      </c>
      <c r="H84" s="36" t="str">
        <f aca="false">IF($B84="","",Pengaturan!$C$10+SUMIFS(Transaksi!$J$6:$J83,Transaksi!$G$6:$G83,Pengaturan!$F$19)-SUMIFS(Transaksi!$K$6:$K83,Transaksi!$G$6:$G83,Pengaturan!$F$19))</f>
        <v/>
      </c>
      <c r="I84" s="36" t="str">
        <f aca="false">IF($B84="","",Pengaturan!$C$11+SUMIFS(Transaksi!$J$6:$J83,Transaksi!$G$6:$G83,Pengaturan!$F$20)-SUMIFS(Transaksi!$K$6:$K83,Transaksi!$G$6:$G83,Pengaturan!$F$20))</f>
        <v/>
      </c>
      <c r="J84" s="41" t="str">
        <f aca="false">IF($B84="","",H84+I84)</f>
        <v/>
      </c>
    </row>
    <row r="85" customFormat="false" ht="15" hidden="false" customHeight="false" outlineLevel="0" collapsed="false">
      <c r="B85" s="38" t="str">
        <f aca="false">IF(Transaksi!C84="","",Transaksi!C84)</f>
        <v/>
      </c>
      <c r="C85" s="39" t="str">
        <f aca="false">IF(Transaksi!C84="","",Transaksi!D84)</f>
        <v/>
      </c>
      <c r="D85" s="40" t="str">
        <f aca="false">IF(Transaksi!C84="","",Transaksi!H84)</f>
        <v/>
      </c>
      <c r="E85" s="39" t="str">
        <f aca="false">IF(Transaksi!C84="","",Transaksi!G84)</f>
        <v/>
      </c>
      <c r="F85" s="36" t="str">
        <f aca="false">IF(Transaksi!C84="","",Transaksi!J84)</f>
        <v/>
      </c>
      <c r="G85" s="36" t="str">
        <f aca="false">IF(Transaksi!C84="","",Transaksi!K84)</f>
        <v/>
      </c>
      <c r="H85" s="36" t="str">
        <f aca="false">IF($B85="","",Pengaturan!$C$10+SUMIFS(Transaksi!$J$6:$J84,Transaksi!$G$6:$G84,Pengaturan!$F$19)-SUMIFS(Transaksi!$K$6:$K84,Transaksi!$G$6:$G84,Pengaturan!$F$19))</f>
        <v/>
      </c>
      <c r="I85" s="36" t="str">
        <f aca="false">IF($B85="","",Pengaturan!$C$11+SUMIFS(Transaksi!$J$6:$J84,Transaksi!$G$6:$G84,Pengaturan!$F$20)-SUMIFS(Transaksi!$K$6:$K84,Transaksi!$G$6:$G84,Pengaturan!$F$20))</f>
        <v/>
      </c>
      <c r="J85" s="41" t="str">
        <f aca="false">IF($B85="","",H85+I85)</f>
        <v/>
      </c>
    </row>
    <row r="86" customFormat="false" ht="15" hidden="false" customHeight="false" outlineLevel="0" collapsed="false">
      <c r="B86" s="38" t="str">
        <f aca="false">IF(Transaksi!C85="","",Transaksi!C85)</f>
        <v/>
      </c>
      <c r="C86" s="39" t="str">
        <f aca="false">IF(Transaksi!C85="","",Transaksi!D85)</f>
        <v/>
      </c>
      <c r="D86" s="40" t="str">
        <f aca="false">IF(Transaksi!C85="","",Transaksi!H85)</f>
        <v/>
      </c>
      <c r="E86" s="39" t="str">
        <f aca="false">IF(Transaksi!C85="","",Transaksi!G85)</f>
        <v/>
      </c>
      <c r="F86" s="36" t="str">
        <f aca="false">IF(Transaksi!C85="","",Transaksi!J85)</f>
        <v/>
      </c>
      <c r="G86" s="36" t="str">
        <f aca="false">IF(Transaksi!C85="","",Transaksi!K85)</f>
        <v/>
      </c>
      <c r="H86" s="36" t="str">
        <f aca="false">IF($B86="","",Pengaturan!$C$10+SUMIFS(Transaksi!$J$6:$J85,Transaksi!$G$6:$G85,Pengaturan!$F$19)-SUMIFS(Transaksi!$K$6:$K85,Transaksi!$G$6:$G85,Pengaturan!$F$19))</f>
        <v/>
      </c>
      <c r="I86" s="36" t="str">
        <f aca="false">IF($B86="","",Pengaturan!$C$11+SUMIFS(Transaksi!$J$6:$J85,Transaksi!$G$6:$G85,Pengaturan!$F$20)-SUMIFS(Transaksi!$K$6:$K85,Transaksi!$G$6:$G85,Pengaturan!$F$20))</f>
        <v/>
      </c>
      <c r="J86" s="41" t="str">
        <f aca="false">IF($B86="","",H86+I86)</f>
        <v/>
      </c>
    </row>
    <row r="87" customFormat="false" ht="15" hidden="false" customHeight="false" outlineLevel="0" collapsed="false">
      <c r="B87" s="38" t="str">
        <f aca="false">IF(Transaksi!C86="","",Transaksi!C86)</f>
        <v/>
      </c>
      <c r="C87" s="39" t="str">
        <f aca="false">IF(Transaksi!C86="","",Transaksi!D86)</f>
        <v/>
      </c>
      <c r="D87" s="40" t="str">
        <f aca="false">IF(Transaksi!C86="","",Transaksi!H86)</f>
        <v/>
      </c>
      <c r="E87" s="39" t="str">
        <f aca="false">IF(Transaksi!C86="","",Transaksi!G86)</f>
        <v/>
      </c>
      <c r="F87" s="36" t="str">
        <f aca="false">IF(Transaksi!C86="","",Transaksi!J86)</f>
        <v/>
      </c>
      <c r="G87" s="36" t="str">
        <f aca="false">IF(Transaksi!C86="","",Transaksi!K86)</f>
        <v/>
      </c>
      <c r="H87" s="36" t="str">
        <f aca="false">IF($B87="","",Pengaturan!$C$10+SUMIFS(Transaksi!$J$6:$J86,Transaksi!$G$6:$G86,Pengaturan!$F$19)-SUMIFS(Transaksi!$K$6:$K86,Transaksi!$G$6:$G86,Pengaturan!$F$19))</f>
        <v/>
      </c>
      <c r="I87" s="36" t="str">
        <f aca="false">IF($B87="","",Pengaturan!$C$11+SUMIFS(Transaksi!$J$6:$J86,Transaksi!$G$6:$G86,Pengaturan!$F$20)-SUMIFS(Transaksi!$K$6:$K86,Transaksi!$G$6:$G86,Pengaturan!$F$20))</f>
        <v/>
      </c>
      <c r="J87" s="41" t="str">
        <f aca="false">IF($B87="","",H87+I87)</f>
        <v/>
      </c>
    </row>
    <row r="88" customFormat="false" ht="15" hidden="false" customHeight="false" outlineLevel="0" collapsed="false">
      <c r="B88" s="38" t="str">
        <f aca="false">IF(Transaksi!C87="","",Transaksi!C87)</f>
        <v/>
      </c>
      <c r="C88" s="39" t="str">
        <f aca="false">IF(Transaksi!C87="","",Transaksi!D87)</f>
        <v/>
      </c>
      <c r="D88" s="40" t="str">
        <f aca="false">IF(Transaksi!C87="","",Transaksi!H87)</f>
        <v/>
      </c>
      <c r="E88" s="39" t="str">
        <f aca="false">IF(Transaksi!C87="","",Transaksi!G87)</f>
        <v/>
      </c>
      <c r="F88" s="36" t="str">
        <f aca="false">IF(Transaksi!C87="","",Transaksi!J87)</f>
        <v/>
      </c>
      <c r="G88" s="36" t="str">
        <f aca="false">IF(Transaksi!C87="","",Transaksi!K87)</f>
        <v/>
      </c>
      <c r="H88" s="36" t="str">
        <f aca="false">IF($B88="","",Pengaturan!$C$10+SUMIFS(Transaksi!$J$6:$J87,Transaksi!$G$6:$G87,Pengaturan!$F$19)-SUMIFS(Transaksi!$K$6:$K87,Transaksi!$G$6:$G87,Pengaturan!$F$19))</f>
        <v/>
      </c>
      <c r="I88" s="36" t="str">
        <f aca="false">IF($B88="","",Pengaturan!$C$11+SUMIFS(Transaksi!$J$6:$J87,Transaksi!$G$6:$G87,Pengaturan!$F$20)-SUMIFS(Transaksi!$K$6:$K87,Transaksi!$G$6:$G87,Pengaturan!$F$20))</f>
        <v/>
      </c>
      <c r="J88" s="41" t="str">
        <f aca="false">IF($B88="","",H88+I88)</f>
        <v/>
      </c>
    </row>
    <row r="89" customFormat="false" ht="15" hidden="false" customHeight="false" outlineLevel="0" collapsed="false">
      <c r="B89" s="38" t="str">
        <f aca="false">IF(Transaksi!C88="","",Transaksi!C88)</f>
        <v/>
      </c>
      <c r="C89" s="39" t="str">
        <f aca="false">IF(Transaksi!C88="","",Transaksi!D88)</f>
        <v/>
      </c>
      <c r="D89" s="40" t="str">
        <f aca="false">IF(Transaksi!C88="","",Transaksi!H88)</f>
        <v/>
      </c>
      <c r="E89" s="39" t="str">
        <f aca="false">IF(Transaksi!C88="","",Transaksi!G88)</f>
        <v/>
      </c>
      <c r="F89" s="36" t="str">
        <f aca="false">IF(Transaksi!C88="","",Transaksi!J88)</f>
        <v/>
      </c>
      <c r="G89" s="36" t="str">
        <f aca="false">IF(Transaksi!C88="","",Transaksi!K88)</f>
        <v/>
      </c>
      <c r="H89" s="36" t="str">
        <f aca="false">IF($B89="","",Pengaturan!$C$10+SUMIFS(Transaksi!$J$6:$J88,Transaksi!$G$6:$G88,Pengaturan!$F$19)-SUMIFS(Transaksi!$K$6:$K88,Transaksi!$G$6:$G88,Pengaturan!$F$19))</f>
        <v/>
      </c>
      <c r="I89" s="36" t="str">
        <f aca="false">IF($B89="","",Pengaturan!$C$11+SUMIFS(Transaksi!$J$6:$J88,Transaksi!$G$6:$G88,Pengaturan!$F$20)-SUMIFS(Transaksi!$K$6:$K88,Transaksi!$G$6:$G88,Pengaturan!$F$20))</f>
        <v/>
      </c>
      <c r="J89" s="41" t="str">
        <f aca="false">IF($B89="","",H89+I89)</f>
        <v/>
      </c>
    </row>
    <row r="90" customFormat="false" ht="15" hidden="false" customHeight="false" outlineLevel="0" collapsed="false">
      <c r="B90" s="38" t="str">
        <f aca="false">IF(Transaksi!C89="","",Transaksi!C89)</f>
        <v/>
      </c>
      <c r="C90" s="39" t="str">
        <f aca="false">IF(Transaksi!C89="","",Transaksi!D89)</f>
        <v/>
      </c>
      <c r="D90" s="40" t="str">
        <f aca="false">IF(Transaksi!C89="","",Transaksi!H89)</f>
        <v/>
      </c>
      <c r="E90" s="39" t="str">
        <f aca="false">IF(Transaksi!C89="","",Transaksi!G89)</f>
        <v/>
      </c>
      <c r="F90" s="36" t="str">
        <f aca="false">IF(Transaksi!C89="","",Transaksi!J89)</f>
        <v/>
      </c>
      <c r="G90" s="36" t="str">
        <f aca="false">IF(Transaksi!C89="","",Transaksi!K89)</f>
        <v/>
      </c>
      <c r="H90" s="36" t="str">
        <f aca="false">IF($B90="","",Pengaturan!$C$10+SUMIFS(Transaksi!$J$6:$J89,Transaksi!$G$6:$G89,Pengaturan!$F$19)-SUMIFS(Transaksi!$K$6:$K89,Transaksi!$G$6:$G89,Pengaturan!$F$19))</f>
        <v/>
      </c>
      <c r="I90" s="36" t="str">
        <f aca="false">IF($B90="","",Pengaturan!$C$11+SUMIFS(Transaksi!$J$6:$J89,Transaksi!$G$6:$G89,Pengaturan!$F$20)-SUMIFS(Transaksi!$K$6:$K89,Transaksi!$G$6:$G89,Pengaturan!$F$20))</f>
        <v/>
      </c>
      <c r="J90" s="41" t="str">
        <f aca="false">IF($B90="","",H90+I90)</f>
        <v/>
      </c>
    </row>
    <row r="91" customFormat="false" ht="15" hidden="false" customHeight="false" outlineLevel="0" collapsed="false">
      <c r="B91" s="38" t="str">
        <f aca="false">IF(Transaksi!C90="","",Transaksi!C90)</f>
        <v/>
      </c>
      <c r="C91" s="39" t="str">
        <f aca="false">IF(Transaksi!C90="","",Transaksi!D90)</f>
        <v/>
      </c>
      <c r="D91" s="40" t="str">
        <f aca="false">IF(Transaksi!C90="","",Transaksi!H90)</f>
        <v/>
      </c>
      <c r="E91" s="39" t="str">
        <f aca="false">IF(Transaksi!C90="","",Transaksi!G90)</f>
        <v/>
      </c>
      <c r="F91" s="36" t="str">
        <f aca="false">IF(Transaksi!C90="","",Transaksi!J90)</f>
        <v/>
      </c>
      <c r="G91" s="36" t="str">
        <f aca="false">IF(Transaksi!C90="","",Transaksi!K90)</f>
        <v/>
      </c>
      <c r="H91" s="36" t="str">
        <f aca="false">IF($B91="","",Pengaturan!$C$10+SUMIFS(Transaksi!$J$6:$J90,Transaksi!$G$6:$G90,Pengaturan!$F$19)-SUMIFS(Transaksi!$K$6:$K90,Transaksi!$G$6:$G90,Pengaturan!$F$19))</f>
        <v/>
      </c>
      <c r="I91" s="36" t="str">
        <f aca="false">IF($B91="","",Pengaturan!$C$11+SUMIFS(Transaksi!$J$6:$J90,Transaksi!$G$6:$G90,Pengaturan!$F$20)-SUMIFS(Transaksi!$K$6:$K90,Transaksi!$G$6:$G90,Pengaturan!$F$20))</f>
        <v/>
      </c>
      <c r="J91" s="41" t="str">
        <f aca="false">IF($B91="","",H91+I91)</f>
        <v/>
      </c>
    </row>
    <row r="92" customFormat="false" ht="15" hidden="false" customHeight="false" outlineLevel="0" collapsed="false">
      <c r="B92" s="38" t="str">
        <f aca="false">IF(Transaksi!C91="","",Transaksi!C91)</f>
        <v/>
      </c>
      <c r="C92" s="39" t="str">
        <f aca="false">IF(Transaksi!C91="","",Transaksi!D91)</f>
        <v/>
      </c>
      <c r="D92" s="40" t="str">
        <f aca="false">IF(Transaksi!C91="","",Transaksi!H91)</f>
        <v/>
      </c>
      <c r="E92" s="39" t="str">
        <f aca="false">IF(Transaksi!C91="","",Transaksi!G91)</f>
        <v/>
      </c>
      <c r="F92" s="36" t="str">
        <f aca="false">IF(Transaksi!C91="","",Transaksi!J91)</f>
        <v/>
      </c>
      <c r="G92" s="36" t="str">
        <f aca="false">IF(Transaksi!C91="","",Transaksi!K91)</f>
        <v/>
      </c>
      <c r="H92" s="36" t="str">
        <f aca="false">IF($B92="","",Pengaturan!$C$10+SUMIFS(Transaksi!$J$6:$J91,Transaksi!$G$6:$G91,Pengaturan!$F$19)-SUMIFS(Transaksi!$K$6:$K91,Transaksi!$G$6:$G91,Pengaturan!$F$19))</f>
        <v/>
      </c>
      <c r="I92" s="36" t="str">
        <f aca="false">IF($B92="","",Pengaturan!$C$11+SUMIFS(Transaksi!$J$6:$J91,Transaksi!$G$6:$G91,Pengaturan!$F$20)-SUMIFS(Transaksi!$K$6:$K91,Transaksi!$G$6:$G91,Pengaturan!$F$20))</f>
        <v/>
      </c>
      <c r="J92" s="41" t="str">
        <f aca="false">IF($B92="","",H92+I92)</f>
        <v/>
      </c>
    </row>
    <row r="93" customFormat="false" ht="15" hidden="false" customHeight="false" outlineLevel="0" collapsed="false">
      <c r="B93" s="38" t="str">
        <f aca="false">IF(Transaksi!C92="","",Transaksi!C92)</f>
        <v/>
      </c>
      <c r="C93" s="39" t="str">
        <f aca="false">IF(Transaksi!C92="","",Transaksi!D92)</f>
        <v/>
      </c>
      <c r="D93" s="40" t="str">
        <f aca="false">IF(Transaksi!C92="","",Transaksi!H92)</f>
        <v/>
      </c>
      <c r="E93" s="39" t="str">
        <f aca="false">IF(Transaksi!C92="","",Transaksi!G92)</f>
        <v/>
      </c>
      <c r="F93" s="36" t="str">
        <f aca="false">IF(Transaksi!C92="","",Transaksi!J92)</f>
        <v/>
      </c>
      <c r="G93" s="36" t="str">
        <f aca="false">IF(Transaksi!C92="","",Transaksi!K92)</f>
        <v/>
      </c>
      <c r="H93" s="36" t="str">
        <f aca="false">IF($B93="","",Pengaturan!$C$10+SUMIFS(Transaksi!$J$6:$J92,Transaksi!$G$6:$G92,Pengaturan!$F$19)-SUMIFS(Transaksi!$K$6:$K92,Transaksi!$G$6:$G92,Pengaturan!$F$19))</f>
        <v/>
      </c>
      <c r="I93" s="36" t="str">
        <f aca="false">IF($B93="","",Pengaturan!$C$11+SUMIFS(Transaksi!$J$6:$J92,Transaksi!$G$6:$G92,Pengaturan!$F$20)-SUMIFS(Transaksi!$K$6:$K92,Transaksi!$G$6:$G92,Pengaturan!$F$20))</f>
        <v/>
      </c>
      <c r="J93" s="41" t="str">
        <f aca="false">IF($B93="","",H93+I93)</f>
        <v/>
      </c>
    </row>
    <row r="94" customFormat="false" ht="15" hidden="false" customHeight="false" outlineLevel="0" collapsed="false">
      <c r="B94" s="38" t="str">
        <f aca="false">IF(Transaksi!C93="","",Transaksi!C93)</f>
        <v/>
      </c>
      <c r="C94" s="39" t="str">
        <f aca="false">IF(Transaksi!C93="","",Transaksi!D93)</f>
        <v/>
      </c>
      <c r="D94" s="40" t="str">
        <f aca="false">IF(Transaksi!C93="","",Transaksi!H93)</f>
        <v/>
      </c>
      <c r="E94" s="39" t="str">
        <f aca="false">IF(Transaksi!C93="","",Transaksi!G93)</f>
        <v/>
      </c>
      <c r="F94" s="36" t="str">
        <f aca="false">IF(Transaksi!C93="","",Transaksi!J93)</f>
        <v/>
      </c>
      <c r="G94" s="36" t="str">
        <f aca="false">IF(Transaksi!C93="","",Transaksi!K93)</f>
        <v/>
      </c>
      <c r="H94" s="36" t="str">
        <f aca="false">IF($B94="","",Pengaturan!$C$10+SUMIFS(Transaksi!$J$6:$J93,Transaksi!$G$6:$G93,Pengaturan!$F$19)-SUMIFS(Transaksi!$K$6:$K93,Transaksi!$G$6:$G93,Pengaturan!$F$19))</f>
        <v/>
      </c>
      <c r="I94" s="36" t="str">
        <f aca="false">IF($B94="","",Pengaturan!$C$11+SUMIFS(Transaksi!$J$6:$J93,Transaksi!$G$6:$G93,Pengaturan!$F$20)-SUMIFS(Transaksi!$K$6:$K93,Transaksi!$G$6:$G93,Pengaturan!$F$20))</f>
        <v/>
      </c>
      <c r="J94" s="41" t="str">
        <f aca="false">IF($B94="","",H94+I94)</f>
        <v/>
      </c>
    </row>
    <row r="95" customFormat="false" ht="15" hidden="false" customHeight="false" outlineLevel="0" collapsed="false">
      <c r="B95" s="38" t="str">
        <f aca="false">IF(Transaksi!C94="","",Transaksi!C94)</f>
        <v/>
      </c>
      <c r="C95" s="39" t="str">
        <f aca="false">IF(Transaksi!C94="","",Transaksi!D94)</f>
        <v/>
      </c>
      <c r="D95" s="40" t="str">
        <f aca="false">IF(Transaksi!C94="","",Transaksi!H94)</f>
        <v/>
      </c>
      <c r="E95" s="39" t="str">
        <f aca="false">IF(Transaksi!C94="","",Transaksi!G94)</f>
        <v/>
      </c>
      <c r="F95" s="36" t="str">
        <f aca="false">IF(Transaksi!C94="","",Transaksi!J94)</f>
        <v/>
      </c>
      <c r="G95" s="36" t="str">
        <f aca="false">IF(Transaksi!C94="","",Transaksi!K94)</f>
        <v/>
      </c>
      <c r="H95" s="36" t="str">
        <f aca="false">IF($B95="","",Pengaturan!$C$10+SUMIFS(Transaksi!$J$6:$J94,Transaksi!$G$6:$G94,Pengaturan!$F$19)-SUMIFS(Transaksi!$K$6:$K94,Transaksi!$G$6:$G94,Pengaturan!$F$19))</f>
        <v/>
      </c>
      <c r="I95" s="36" t="str">
        <f aca="false">IF($B95="","",Pengaturan!$C$11+SUMIFS(Transaksi!$J$6:$J94,Transaksi!$G$6:$G94,Pengaturan!$F$20)-SUMIFS(Transaksi!$K$6:$K94,Transaksi!$G$6:$G94,Pengaturan!$F$20))</f>
        <v/>
      </c>
      <c r="J95" s="41" t="str">
        <f aca="false">IF($B95="","",H95+I95)</f>
        <v/>
      </c>
    </row>
    <row r="96" customFormat="false" ht="15" hidden="false" customHeight="false" outlineLevel="0" collapsed="false">
      <c r="B96" s="38" t="str">
        <f aca="false">IF(Transaksi!C95="","",Transaksi!C95)</f>
        <v/>
      </c>
      <c r="C96" s="39" t="str">
        <f aca="false">IF(Transaksi!C95="","",Transaksi!D95)</f>
        <v/>
      </c>
      <c r="D96" s="40" t="str">
        <f aca="false">IF(Transaksi!C95="","",Transaksi!H95)</f>
        <v/>
      </c>
      <c r="E96" s="39" t="str">
        <f aca="false">IF(Transaksi!C95="","",Transaksi!G95)</f>
        <v/>
      </c>
      <c r="F96" s="36" t="str">
        <f aca="false">IF(Transaksi!C95="","",Transaksi!J95)</f>
        <v/>
      </c>
      <c r="G96" s="36" t="str">
        <f aca="false">IF(Transaksi!C95="","",Transaksi!K95)</f>
        <v/>
      </c>
      <c r="H96" s="36" t="str">
        <f aca="false">IF($B96="","",Pengaturan!$C$10+SUMIFS(Transaksi!$J$6:$J95,Transaksi!$G$6:$G95,Pengaturan!$F$19)-SUMIFS(Transaksi!$K$6:$K95,Transaksi!$G$6:$G95,Pengaturan!$F$19))</f>
        <v/>
      </c>
      <c r="I96" s="36" t="str">
        <f aca="false">IF($B96="","",Pengaturan!$C$11+SUMIFS(Transaksi!$J$6:$J95,Transaksi!$G$6:$G95,Pengaturan!$F$20)-SUMIFS(Transaksi!$K$6:$K95,Transaksi!$G$6:$G95,Pengaturan!$F$20))</f>
        <v/>
      </c>
      <c r="J96" s="41" t="str">
        <f aca="false">IF($B96="","",H96+I96)</f>
        <v/>
      </c>
    </row>
    <row r="97" customFormat="false" ht="15" hidden="false" customHeight="false" outlineLevel="0" collapsed="false">
      <c r="B97" s="38" t="str">
        <f aca="false">IF(Transaksi!C96="","",Transaksi!C96)</f>
        <v/>
      </c>
      <c r="C97" s="39" t="str">
        <f aca="false">IF(Transaksi!C96="","",Transaksi!D96)</f>
        <v/>
      </c>
      <c r="D97" s="40" t="str">
        <f aca="false">IF(Transaksi!C96="","",Transaksi!H96)</f>
        <v/>
      </c>
      <c r="E97" s="39" t="str">
        <f aca="false">IF(Transaksi!C96="","",Transaksi!G96)</f>
        <v/>
      </c>
      <c r="F97" s="36" t="str">
        <f aca="false">IF(Transaksi!C96="","",Transaksi!J96)</f>
        <v/>
      </c>
      <c r="G97" s="36" t="str">
        <f aca="false">IF(Transaksi!C96="","",Transaksi!K96)</f>
        <v/>
      </c>
      <c r="H97" s="36" t="str">
        <f aca="false">IF($B97="","",Pengaturan!$C$10+SUMIFS(Transaksi!$J$6:$J96,Transaksi!$G$6:$G96,Pengaturan!$F$19)-SUMIFS(Transaksi!$K$6:$K96,Transaksi!$G$6:$G96,Pengaturan!$F$19))</f>
        <v/>
      </c>
      <c r="I97" s="36" t="str">
        <f aca="false">IF($B97="","",Pengaturan!$C$11+SUMIFS(Transaksi!$J$6:$J96,Transaksi!$G$6:$G96,Pengaturan!$F$20)-SUMIFS(Transaksi!$K$6:$K96,Transaksi!$G$6:$G96,Pengaturan!$F$20))</f>
        <v/>
      </c>
      <c r="J97" s="41" t="str">
        <f aca="false">IF($B97="","",H97+I97)</f>
        <v/>
      </c>
    </row>
    <row r="98" customFormat="false" ht="15" hidden="false" customHeight="false" outlineLevel="0" collapsed="false">
      <c r="B98" s="38" t="str">
        <f aca="false">IF(Transaksi!C97="","",Transaksi!C97)</f>
        <v/>
      </c>
      <c r="C98" s="39" t="str">
        <f aca="false">IF(Transaksi!C97="","",Transaksi!D97)</f>
        <v/>
      </c>
      <c r="D98" s="40" t="str">
        <f aca="false">IF(Transaksi!C97="","",Transaksi!H97)</f>
        <v/>
      </c>
      <c r="E98" s="39" t="str">
        <f aca="false">IF(Transaksi!C97="","",Transaksi!G97)</f>
        <v/>
      </c>
      <c r="F98" s="36" t="str">
        <f aca="false">IF(Transaksi!C97="","",Transaksi!J97)</f>
        <v/>
      </c>
      <c r="G98" s="36" t="str">
        <f aca="false">IF(Transaksi!C97="","",Transaksi!K97)</f>
        <v/>
      </c>
      <c r="H98" s="36" t="str">
        <f aca="false">IF($B98="","",Pengaturan!$C$10+SUMIFS(Transaksi!$J$6:$J97,Transaksi!$G$6:$G97,Pengaturan!$F$19)-SUMIFS(Transaksi!$K$6:$K97,Transaksi!$G$6:$G97,Pengaturan!$F$19))</f>
        <v/>
      </c>
      <c r="I98" s="36" t="str">
        <f aca="false">IF($B98="","",Pengaturan!$C$11+SUMIFS(Transaksi!$J$6:$J97,Transaksi!$G$6:$G97,Pengaturan!$F$20)-SUMIFS(Transaksi!$K$6:$K97,Transaksi!$G$6:$G97,Pengaturan!$F$20))</f>
        <v/>
      </c>
      <c r="J98" s="41" t="str">
        <f aca="false">IF($B98="","",H98+I98)</f>
        <v/>
      </c>
    </row>
    <row r="99" customFormat="false" ht="15" hidden="false" customHeight="false" outlineLevel="0" collapsed="false">
      <c r="B99" s="38" t="str">
        <f aca="false">IF(Transaksi!C98="","",Transaksi!C98)</f>
        <v/>
      </c>
      <c r="C99" s="39" t="str">
        <f aca="false">IF(Transaksi!C98="","",Transaksi!D98)</f>
        <v/>
      </c>
      <c r="D99" s="40" t="str">
        <f aca="false">IF(Transaksi!C98="","",Transaksi!H98)</f>
        <v/>
      </c>
      <c r="E99" s="39" t="str">
        <f aca="false">IF(Transaksi!C98="","",Transaksi!G98)</f>
        <v/>
      </c>
      <c r="F99" s="36" t="str">
        <f aca="false">IF(Transaksi!C98="","",Transaksi!J98)</f>
        <v/>
      </c>
      <c r="G99" s="36" t="str">
        <f aca="false">IF(Transaksi!C98="","",Transaksi!K98)</f>
        <v/>
      </c>
      <c r="H99" s="36" t="str">
        <f aca="false">IF($B99="","",Pengaturan!$C$10+SUMIFS(Transaksi!$J$6:$J98,Transaksi!$G$6:$G98,Pengaturan!$F$19)-SUMIFS(Transaksi!$K$6:$K98,Transaksi!$G$6:$G98,Pengaturan!$F$19))</f>
        <v/>
      </c>
      <c r="I99" s="36" t="str">
        <f aca="false">IF($B99="","",Pengaturan!$C$11+SUMIFS(Transaksi!$J$6:$J98,Transaksi!$G$6:$G98,Pengaturan!$F$20)-SUMIFS(Transaksi!$K$6:$K98,Transaksi!$G$6:$G98,Pengaturan!$F$20))</f>
        <v/>
      </c>
      <c r="J99" s="41" t="str">
        <f aca="false">IF($B99="","",H99+I99)</f>
        <v/>
      </c>
    </row>
    <row r="100" customFormat="false" ht="15" hidden="false" customHeight="false" outlineLevel="0" collapsed="false">
      <c r="B100" s="38" t="str">
        <f aca="false">IF(Transaksi!C99="","",Transaksi!C99)</f>
        <v/>
      </c>
      <c r="C100" s="39" t="str">
        <f aca="false">IF(Transaksi!C99="","",Transaksi!D99)</f>
        <v/>
      </c>
      <c r="D100" s="40" t="str">
        <f aca="false">IF(Transaksi!C99="","",Transaksi!H99)</f>
        <v/>
      </c>
      <c r="E100" s="39" t="str">
        <f aca="false">IF(Transaksi!C99="","",Transaksi!G99)</f>
        <v/>
      </c>
      <c r="F100" s="36" t="str">
        <f aca="false">IF(Transaksi!C99="","",Transaksi!J99)</f>
        <v/>
      </c>
      <c r="G100" s="36" t="str">
        <f aca="false">IF(Transaksi!C99="","",Transaksi!K99)</f>
        <v/>
      </c>
      <c r="H100" s="36" t="str">
        <f aca="false">IF($B100="","",Pengaturan!$C$10+SUMIFS(Transaksi!$J$6:$J99,Transaksi!$G$6:$G99,Pengaturan!$F$19)-SUMIFS(Transaksi!$K$6:$K99,Transaksi!$G$6:$G99,Pengaturan!$F$19))</f>
        <v/>
      </c>
      <c r="I100" s="36" t="str">
        <f aca="false">IF($B100="","",Pengaturan!$C$11+SUMIFS(Transaksi!$J$6:$J99,Transaksi!$G$6:$G99,Pengaturan!$F$20)-SUMIFS(Transaksi!$K$6:$K99,Transaksi!$G$6:$G99,Pengaturan!$F$20))</f>
        <v/>
      </c>
      <c r="J100" s="41" t="str">
        <f aca="false">IF($B100="","",H100+I100)</f>
        <v/>
      </c>
    </row>
    <row r="101" customFormat="false" ht="15" hidden="false" customHeight="false" outlineLevel="0" collapsed="false">
      <c r="B101" s="38" t="str">
        <f aca="false">IF(Transaksi!C100="","",Transaksi!C100)</f>
        <v/>
      </c>
      <c r="C101" s="39" t="str">
        <f aca="false">IF(Transaksi!C100="","",Transaksi!D100)</f>
        <v/>
      </c>
      <c r="D101" s="40" t="str">
        <f aca="false">IF(Transaksi!C100="","",Transaksi!H100)</f>
        <v/>
      </c>
      <c r="E101" s="39" t="str">
        <f aca="false">IF(Transaksi!C100="","",Transaksi!G100)</f>
        <v/>
      </c>
      <c r="F101" s="36" t="str">
        <f aca="false">IF(Transaksi!C100="","",Transaksi!J100)</f>
        <v/>
      </c>
      <c r="G101" s="36" t="str">
        <f aca="false">IF(Transaksi!C100="","",Transaksi!K100)</f>
        <v/>
      </c>
      <c r="H101" s="36" t="str">
        <f aca="false">IF($B101="","",Pengaturan!$C$10+SUMIFS(Transaksi!$J$6:$J100,Transaksi!$G$6:$G100,Pengaturan!$F$19)-SUMIFS(Transaksi!$K$6:$K100,Transaksi!$G$6:$G100,Pengaturan!$F$19))</f>
        <v/>
      </c>
      <c r="I101" s="36" t="str">
        <f aca="false">IF($B101="","",Pengaturan!$C$11+SUMIFS(Transaksi!$J$6:$J100,Transaksi!$G$6:$G100,Pengaturan!$F$20)-SUMIFS(Transaksi!$K$6:$K100,Transaksi!$G$6:$G100,Pengaturan!$F$20))</f>
        <v/>
      </c>
      <c r="J101" s="41" t="str">
        <f aca="false">IF($B101="","",H101+I101)</f>
        <v/>
      </c>
    </row>
    <row r="102" customFormat="false" ht="15" hidden="false" customHeight="false" outlineLevel="0" collapsed="false">
      <c r="B102" s="38" t="str">
        <f aca="false">IF(Transaksi!C101="","",Transaksi!C101)</f>
        <v/>
      </c>
      <c r="C102" s="39" t="str">
        <f aca="false">IF(Transaksi!C101="","",Transaksi!D101)</f>
        <v/>
      </c>
      <c r="D102" s="40" t="str">
        <f aca="false">IF(Transaksi!C101="","",Transaksi!H101)</f>
        <v/>
      </c>
      <c r="E102" s="39" t="str">
        <f aca="false">IF(Transaksi!C101="","",Transaksi!G101)</f>
        <v/>
      </c>
      <c r="F102" s="36" t="str">
        <f aca="false">IF(Transaksi!C101="","",Transaksi!J101)</f>
        <v/>
      </c>
      <c r="G102" s="36" t="str">
        <f aca="false">IF(Transaksi!C101="","",Transaksi!K101)</f>
        <v/>
      </c>
      <c r="H102" s="36" t="str">
        <f aca="false">IF($B102="","",Pengaturan!$C$10+SUMIFS(Transaksi!$J$6:$J101,Transaksi!$G$6:$G101,Pengaturan!$F$19)-SUMIFS(Transaksi!$K$6:$K101,Transaksi!$G$6:$G101,Pengaturan!$F$19))</f>
        <v/>
      </c>
      <c r="I102" s="36" t="str">
        <f aca="false">IF($B102="","",Pengaturan!$C$11+SUMIFS(Transaksi!$J$6:$J101,Transaksi!$G$6:$G101,Pengaturan!$F$20)-SUMIFS(Transaksi!$K$6:$K101,Transaksi!$G$6:$G101,Pengaturan!$F$20))</f>
        <v/>
      </c>
      <c r="J102" s="41" t="str">
        <f aca="false">IF($B102="","",H102+I102)</f>
        <v/>
      </c>
    </row>
    <row r="103" customFormat="false" ht="15" hidden="false" customHeight="false" outlineLevel="0" collapsed="false">
      <c r="B103" s="38" t="str">
        <f aca="false">IF(Transaksi!C102="","",Transaksi!C102)</f>
        <v/>
      </c>
      <c r="C103" s="39" t="str">
        <f aca="false">IF(Transaksi!C102="","",Transaksi!D102)</f>
        <v/>
      </c>
      <c r="D103" s="40" t="str">
        <f aca="false">IF(Transaksi!C102="","",Transaksi!H102)</f>
        <v/>
      </c>
      <c r="E103" s="39" t="str">
        <f aca="false">IF(Transaksi!C102="","",Transaksi!G102)</f>
        <v/>
      </c>
      <c r="F103" s="36" t="str">
        <f aca="false">IF(Transaksi!C102="","",Transaksi!J102)</f>
        <v/>
      </c>
      <c r="G103" s="36" t="str">
        <f aca="false">IF(Transaksi!C102="","",Transaksi!K102)</f>
        <v/>
      </c>
      <c r="H103" s="36" t="str">
        <f aca="false">IF($B103="","",Pengaturan!$C$10+SUMIFS(Transaksi!$J$6:$J102,Transaksi!$G$6:$G102,Pengaturan!$F$19)-SUMIFS(Transaksi!$K$6:$K102,Transaksi!$G$6:$G102,Pengaturan!$F$19))</f>
        <v/>
      </c>
      <c r="I103" s="36" t="str">
        <f aca="false">IF($B103="","",Pengaturan!$C$11+SUMIFS(Transaksi!$J$6:$J102,Transaksi!$G$6:$G102,Pengaturan!$F$20)-SUMIFS(Transaksi!$K$6:$K102,Transaksi!$G$6:$G102,Pengaturan!$F$20))</f>
        <v/>
      </c>
      <c r="J103" s="41" t="str">
        <f aca="false">IF($B103="","",H103+I103)</f>
        <v/>
      </c>
    </row>
    <row r="104" customFormat="false" ht="15" hidden="false" customHeight="false" outlineLevel="0" collapsed="false">
      <c r="B104" s="38" t="str">
        <f aca="false">IF(Transaksi!C103="","",Transaksi!C103)</f>
        <v/>
      </c>
      <c r="C104" s="39" t="str">
        <f aca="false">IF(Transaksi!C103="","",Transaksi!D103)</f>
        <v/>
      </c>
      <c r="D104" s="40" t="str">
        <f aca="false">IF(Transaksi!C103="","",Transaksi!H103)</f>
        <v/>
      </c>
      <c r="E104" s="39" t="str">
        <f aca="false">IF(Transaksi!C103="","",Transaksi!G103)</f>
        <v/>
      </c>
      <c r="F104" s="36" t="str">
        <f aca="false">IF(Transaksi!C103="","",Transaksi!J103)</f>
        <v/>
      </c>
      <c r="G104" s="36" t="str">
        <f aca="false">IF(Transaksi!C103="","",Transaksi!K103)</f>
        <v/>
      </c>
      <c r="H104" s="36" t="str">
        <f aca="false">IF($B104="","",Pengaturan!$C$10+SUMIFS(Transaksi!$J$6:$J103,Transaksi!$G$6:$G103,Pengaturan!$F$19)-SUMIFS(Transaksi!$K$6:$K103,Transaksi!$G$6:$G103,Pengaturan!$F$19))</f>
        <v/>
      </c>
      <c r="I104" s="36" t="str">
        <f aca="false">IF($B104="","",Pengaturan!$C$11+SUMIFS(Transaksi!$J$6:$J103,Transaksi!$G$6:$G103,Pengaturan!$F$20)-SUMIFS(Transaksi!$K$6:$K103,Transaksi!$G$6:$G103,Pengaturan!$F$20))</f>
        <v/>
      </c>
      <c r="J104" s="41" t="str">
        <f aca="false">IF($B104="","",H104+I104)</f>
        <v/>
      </c>
    </row>
    <row r="105" customFormat="false" ht="15" hidden="false" customHeight="false" outlineLevel="0" collapsed="false">
      <c r="B105" s="38" t="str">
        <f aca="false">IF(Transaksi!C104="","",Transaksi!C104)</f>
        <v/>
      </c>
      <c r="C105" s="39" t="str">
        <f aca="false">IF(Transaksi!C104="","",Transaksi!D104)</f>
        <v/>
      </c>
      <c r="D105" s="40" t="str">
        <f aca="false">IF(Transaksi!C104="","",Transaksi!H104)</f>
        <v/>
      </c>
      <c r="E105" s="39" t="str">
        <f aca="false">IF(Transaksi!C104="","",Transaksi!G104)</f>
        <v/>
      </c>
      <c r="F105" s="36" t="str">
        <f aca="false">IF(Transaksi!C104="","",Transaksi!J104)</f>
        <v/>
      </c>
      <c r="G105" s="36" t="str">
        <f aca="false">IF(Transaksi!C104="","",Transaksi!K104)</f>
        <v/>
      </c>
      <c r="H105" s="36" t="str">
        <f aca="false">IF($B105="","",Pengaturan!$C$10+SUMIFS(Transaksi!$J$6:$J104,Transaksi!$G$6:$G104,Pengaturan!$F$19)-SUMIFS(Transaksi!$K$6:$K104,Transaksi!$G$6:$G104,Pengaturan!$F$19))</f>
        <v/>
      </c>
      <c r="I105" s="36" t="str">
        <f aca="false">IF($B105="","",Pengaturan!$C$11+SUMIFS(Transaksi!$J$6:$J104,Transaksi!$G$6:$G104,Pengaturan!$F$20)-SUMIFS(Transaksi!$K$6:$K104,Transaksi!$G$6:$G104,Pengaturan!$F$20))</f>
        <v/>
      </c>
      <c r="J105" s="41" t="str">
        <f aca="false">IF($B105="","",H105+I105)</f>
        <v/>
      </c>
    </row>
    <row r="106" customFormat="false" ht="15" hidden="false" customHeight="false" outlineLevel="0" collapsed="false">
      <c r="B106" s="38" t="str">
        <f aca="false">IF(Transaksi!C105="","",Transaksi!C105)</f>
        <v/>
      </c>
      <c r="C106" s="39" t="str">
        <f aca="false">IF(Transaksi!C105="","",Transaksi!D105)</f>
        <v/>
      </c>
      <c r="D106" s="40" t="str">
        <f aca="false">IF(Transaksi!C105="","",Transaksi!H105)</f>
        <v/>
      </c>
      <c r="E106" s="39" t="str">
        <f aca="false">IF(Transaksi!C105="","",Transaksi!G105)</f>
        <v/>
      </c>
      <c r="F106" s="36" t="str">
        <f aca="false">IF(Transaksi!C105="","",Transaksi!J105)</f>
        <v/>
      </c>
      <c r="G106" s="36" t="str">
        <f aca="false">IF(Transaksi!C105="","",Transaksi!K105)</f>
        <v/>
      </c>
      <c r="H106" s="36" t="str">
        <f aca="false">IF($B106="","",Pengaturan!$C$10+SUMIFS(Transaksi!$J$6:$J105,Transaksi!$G$6:$G105,Pengaturan!$F$19)-SUMIFS(Transaksi!$K$6:$K105,Transaksi!$G$6:$G105,Pengaturan!$F$19))</f>
        <v/>
      </c>
      <c r="I106" s="36" t="str">
        <f aca="false">IF($B106="","",Pengaturan!$C$11+SUMIFS(Transaksi!$J$6:$J105,Transaksi!$G$6:$G105,Pengaturan!$F$20)-SUMIFS(Transaksi!$K$6:$K105,Transaksi!$G$6:$G105,Pengaturan!$F$20))</f>
        <v/>
      </c>
      <c r="J106" s="41" t="str">
        <f aca="false">IF($B106="","",H106+I106)</f>
        <v/>
      </c>
    </row>
    <row r="107" customFormat="false" ht="15" hidden="false" customHeight="false" outlineLevel="0" collapsed="false">
      <c r="B107" s="38" t="str">
        <f aca="false">IF(Transaksi!C106="","",Transaksi!C106)</f>
        <v/>
      </c>
      <c r="C107" s="39" t="str">
        <f aca="false">IF(Transaksi!C106="","",Transaksi!D106)</f>
        <v/>
      </c>
      <c r="D107" s="40" t="str">
        <f aca="false">IF(Transaksi!C106="","",Transaksi!H106)</f>
        <v/>
      </c>
      <c r="E107" s="39" t="str">
        <f aca="false">IF(Transaksi!C106="","",Transaksi!G106)</f>
        <v/>
      </c>
      <c r="F107" s="36" t="str">
        <f aca="false">IF(Transaksi!C106="","",Transaksi!J106)</f>
        <v/>
      </c>
      <c r="G107" s="36" t="str">
        <f aca="false">IF(Transaksi!C106="","",Transaksi!K106)</f>
        <v/>
      </c>
      <c r="H107" s="36" t="str">
        <f aca="false">IF($B107="","",Pengaturan!$C$10+SUMIFS(Transaksi!$J$6:$J106,Transaksi!$G$6:$G106,Pengaturan!$F$19)-SUMIFS(Transaksi!$K$6:$K106,Transaksi!$G$6:$G106,Pengaturan!$F$19))</f>
        <v/>
      </c>
      <c r="I107" s="36" t="str">
        <f aca="false">IF($B107="","",Pengaturan!$C$11+SUMIFS(Transaksi!$J$6:$J106,Transaksi!$G$6:$G106,Pengaturan!$F$20)-SUMIFS(Transaksi!$K$6:$K106,Transaksi!$G$6:$G106,Pengaturan!$F$20))</f>
        <v/>
      </c>
      <c r="J107" s="41" t="str">
        <f aca="false">IF($B107="","",H107+I107)</f>
        <v/>
      </c>
    </row>
    <row r="108" customFormat="false" ht="15" hidden="false" customHeight="false" outlineLevel="0" collapsed="false">
      <c r="B108" s="38" t="str">
        <f aca="false">IF(Transaksi!C107="","",Transaksi!C107)</f>
        <v/>
      </c>
      <c r="C108" s="39" t="str">
        <f aca="false">IF(Transaksi!C107="","",Transaksi!D107)</f>
        <v/>
      </c>
      <c r="D108" s="40" t="str">
        <f aca="false">IF(Transaksi!C107="","",Transaksi!H107)</f>
        <v/>
      </c>
      <c r="E108" s="39" t="str">
        <f aca="false">IF(Transaksi!C107="","",Transaksi!G107)</f>
        <v/>
      </c>
      <c r="F108" s="36" t="str">
        <f aca="false">IF(Transaksi!C107="","",Transaksi!J107)</f>
        <v/>
      </c>
      <c r="G108" s="36" t="str">
        <f aca="false">IF(Transaksi!C107="","",Transaksi!K107)</f>
        <v/>
      </c>
      <c r="H108" s="36" t="str">
        <f aca="false">IF($B108="","",Pengaturan!$C$10+SUMIFS(Transaksi!$J$6:$J107,Transaksi!$G$6:$G107,Pengaturan!$F$19)-SUMIFS(Transaksi!$K$6:$K107,Transaksi!$G$6:$G107,Pengaturan!$F$19))</f>
        <v/>
      </c>
      <c r="I108" s="36" t="str">
        <f aca="false">IF($B108="","",Pengaturan!$C$11+SUMIFS(Transaksi!$J$6:$J107,Transaksi!$G$6:$G107,Pengaturan!$F$20)-SUMIFS(Transaksi!$K$6:$K107,Transaksi!$G$6:$G107,Pengaturan!$F$20))</f>
        <v/>
      </c>
      <c r="J108" s="41" t="str">
        <f aca="false">IF($B108="","",H108+I108)</f>
        <v/>
      </c>
    </row>
    <row r="109" customFormat="false" ht="15" hidden="false" customHeight="false" outlineLevel="0" collapsed="false">
      <c r="B109" s="38" t="str">
        <f aca="false">IF(Transaksi!C108="","",Transaksi!C108)</f>
        <v/>
      </c>
      <c r="C109" s="39" t="str">
        <f aca="false">IF(Transaksi!C108="","",Transaksi!D108)</f>
        <v/>
      </c>
      <c r="D109" s="40" t="str">
        <f aca="false">IF(Transaksi!C108="","",Transaksi!H108)</f>
        <v/>
      </c>
      <c r="E109" s="39" t="str">
        <f aca="false">IF(Transaksi!C108="","",Transaksi!G108)</f>
        <v/>
      </c>
      <c r="F109" s="36" t="str">
        <f aca="false">IF(Transaksi!C108="","",Transaksi!J108)</f>
        <v/>
      </c>
      <c r="G109" s="36" t="str">
        <f aca="false">IF(Transaksi!C108="","",Transaksi!K108)</f>
        <v/>
      </c>
      <c r="H109" s="36" t="str">
        <f aca="false">IF($B109="","",Pengaturan!$C$10+SUMIFS(Transaksi!$J$6:$J108,Transaksi!$G$6:$G108,Pengaturan!$F$19)-SUMIFS(Transaksi!$K$6:$K108,Transaksi!$G$6:$G108,Pengaturan!$F$19))</f>
        <v/>
      </c>
      <c r="I109" s="36" t="str">
        <f aca="false">IF($B109="","",Pengaturan!$C$11+SUMIFS(Transaksi!$J$6:$J108,Transaksi!$G$6:$G108,Pengaturan!$F$20)-SUMIFS(Transaksi!$K$6:$K108,Transaksi!$G$6:$G108,Pengaturan!$F$20))</f>
        <v/>
      </c>
      <c r="J109" s="41" t="str">
        <f aca="false">IF($B109="","",H109+I109)</f>
        <v/>
      </c>
    </row>
    <row r="110" customFormat="false" ht="15" hidden="false" customHeight="false" outlineLevel="0" collapsed="false">
      <c r="B110" s="38" t="str">
        <f aca="false">IF(Transaksi!C109="","",Transaksi!C109)</f>
        <v/>
      </c>
      <c r="C110" s="39" t="str">
        <f aca="false">IF(Transaksi!C109="","",Transaksi!D109)</f>
        <v/>
      </c>
      <c r="D110" s="40" t="str">
        <f aca="false">IF(Transaksi!C109="","",Transaksi!H109)</f>
        <v/>
      </c>
      <c r="E110" s="39" t="str">
        <f aca="false">IF(Transaksi!C109="","",Transaksi!G109)</f>
        <v/>
      </c>
      <c r="F110" s="36" t="str">
        <f aca="false">IF(Transaksi!C109="","",Transaksi!J109)</f>
        <v/>
      </c>
      <c r="G110" s="36" t="str">
        <f aca="false">IF(Transaksi!C109="","",Transaksi!K109)</f>
        <v/>
      </c>
      <c r="H110" s="36" t="str">
        <f aca="false">IF($B110="","",Pengaturan!$C$10+SUMIFS(Transaksi!$J$6:$J109,Transaksi!$G$6:$G109,Pengaturan!$F$19)-SUMIFS(Transaksi!$K$6:$K109,Transaksi!$G$6:$G109,Pengaturan!$F$19))</f>
        <v/>
      </c>
      <c r="I110" s="36" t="str">
        <f aca="false">IF($B110="","",Pengaturan!$C$11+SUMIFS(Transaksi!$J$6:$J109,Transaksi!$G$6:$G109,Pengaturan!$F$20)-SUMIFS(Transaksi!$K$6:$K109,Transaksi!$G$6:$G109,Pengaturan!$F$20))</f>
        <v/>
      </c>
      <c r="J110" s="41" t="str">
        <f aca="false">IF($B110="","",H110+I110)</f>
        <v/>
      </c>
    </row>
    <row r="111" customFormat="false" ht="15" hidden="false" customHeight="false" outlineLevel="0" collapsed="false">
      <c r="B111" s="38" t="str">
        <f aca="false">IF(Transaksi!C110="","",Transaksi!C110)</f>
        <v/>
      </c>
      <c r="C111" s="39" t="str">
        <f aca="false">IF(Transaksi!C110="","",Transaksi!D110)</f>
        <v/>
      </c>
      <c r="D111" s="40" t="str">
        <f aca="false">IF(Transaksi!C110="","",Transaksi!H110)</f>
        <v/>
      </c>
      <c r="E111" s="39" t="str">
        <f aca="false">IF(Transaksi!C110="","",Transaksi!G110)</f>
        <v/>
      </c>
      <c r="F111" s="36" t="str">
        <f aca="false">IF(Transaksi!C110="","",Transaksi!J110)</f>
        <v/>
      </c>
      <c r="G111" s="36" t="str">
        <f aca="false">IF(Transaksi!C110="","",Transaksi!K110)</f>
        <v/>
      </c>
      <c r="H111" s="36" t="str">
        <f aca="false">IF($B111="","",Pengaturan!$C$10+SUMIFS(Transaksi!$J$6:$J110,Transaksi!$G$6:$G110,Pengaturan!$F$19)-SUMIFS(Transaksi!$K$6:$K110,Transaksi!$G$6:$G110,Pengaturan!$F$19))</f>
        <v/>
      </c>
      <c r="I111" s="36" t="str">
        <f aca="false">IF($B111="","",Pengaturan!$C$11+SUMIFS(Transaksi!$J$6:$J110,Transaksi!$G$6:$G110,Pengaturan!$F$20)-SUMIFS(Transaksi!$K$6:$K110,Transaksi!$G$6:$G110,Pengaturan!$F$20))</f>
        <v/>
      </c>
      <c r="J111" s="41" t="str">
        <f aca="false">IF($B111="","",H111+I111)</f>
        <v/>
      </c>
    </row>
    <row r="112" customFormat="false" ht="15" hidden="false" customHeight="false" outlineLevel="0" collapsed="false">
      <c r="B112" s="38" t="str">
        <f aca="false">IF(Transaksi!C111="","",Transaksi!C111)</f>
        <v/>
      </c>
      <c r="C112" s="39" t="str">
        <f aca="false">IF(Transaksi!C111="","",Transaksi!D111)</f>
        <v/>
      </c>
      <c r="D112" s="40" t="str">
        <f aca="false">IF(Transaksi!C111="","",Transaksi!H111)</f>
        <v/>
      </c>
      <c r="E112" s="39" t="str">
        <f aca="false">IF(Transaksi!C111="","",Transaksi!G111)</f>
        <v/>
      </c>
      <c r="F112" s="36" t="str">
        <f aca="false">IF(Transaksi!C111="","",Transaksi!J111)</f>
        <v/>
      </c>
      <c r="G112" s="36" t="str">
        <f aca="false">IF(Transaksi!C111="","",Transaksi!K111)</f>
        <v/>
      </c>
      <c r="H112" s="36" t="str">
        <f aca="false">IF($B112="","",Pengaturan!$C$10+SUMIFS(Transaksi!$J$6:$J111,Transaksi!$G$6:$G111,Pengaturan!$F$19)-SUMIFS(Transaksi!$K$6:$K111,Transaksi!$G$6:$G111,Pengaturan!$F$19))</f>
        <v/>
      </c>
      <c r="I112" s="36" t="str">
        <f aca="false">IF($B112="","",Pengaturan!$C$11+SUMIFS(Transaksi!$J$6:$J111,Transaksi!$G$6:$G111,Pengaturan!$F$20)-SUMIFS(Transaksi!$K$6:$K111,Transaksi!$G$6:$G111,Pengaturan!$F$20))</f>
        <v/>
      </c>
      <c r="J112" s="41" t="str">
        <f aca="false">IF($B112="","",H112+I112)</f>
        <v/>
      </c>
    </row>
    <row r="113" customFormat="false" ht="15" hidden="false" customHeight="false" outlineLevel="0" collapsed="false">
      <c r="B113" s="38" t="str">
        <f aca="false">IF(Transaksi!C112="","",Transaksi!C112)</f>
        <v/>
      </c>
      <c r="C113" s="39" t="str">
        <f aca="false">IF(Transaksi!C112="","",Transaksi!D112)</f>
        <v/>
      </c>
      <c r="D113" s="40" t="str">
        <f aca="false">IF(Transaksi!C112="","",Transaksi!H112)</f>
        <v/>
      </c>
      <c r="E113" s="39" t="str">
        <f aca="false">IF(Transaksi!C112="","",Transaksi!G112)</f>
        <v/>
      </c>
      <c r="F113" s="36" t="str">
        <f aca="false">IF(Transaksi!C112="","",Transaksi!J112)</f>
        <v/>
      </c>
      <c r="G113" s="36" t="str">
        <f aca="false">IF(Transaksi!C112="","",Transaksi!K112)</f>
        <v/>
      </c>
      <c r="H113" s="36" t="str">
        <f aca="false">IF($B113="","",Pengaturan!$C$10+SUMIFS(Transaksi!$J$6:$J112,Transaksi!$G$6:$G112,Pengaturan!$F$19)-SUMIFS(Transaksi!$K$6:$K112,Transaksi!$G$6:$G112,Pengaturan!$F$19))</f>
        <v/>
      </c>
      <c r="I113" s="36" t="str">
        <f aca="false">IF($B113="","",Pengaturan!$C$11+SUMIFS(Transaksi!$J$6:$J112,Transaksi!$G$6:$G112,Pengaturan!$F$20)-SUMIFS(Transaksi!$K$6:$K112,Transaksi!$G$6:$G112,Pengaturan!$F$20))</f>
        <v/>
      </c>
      <c r="J113" s="41" t="str">
        <f aca="false">IF($B113="","",H113+I113)</f>
        <v/>
      </c>
    </row>
    <row r="114" customFormat="false" ht="15" hidden="false" customHeight="false" outlineLevel="0" collapsed="false">
      <c r="B114" s="38" t="str">
        <f aca="false">IF(Transaksi!C113="","",Transaksi!C113)</f>
        <v/>
      </c>
      <c r="C114" s="39" t="str">
        <f aca="false">IF(Transaksi!C113="","",Transaksi!D113)</f>
        <v/>
      </c>
      <c r="D114" s="40" t="str">
        <f aca="false">IF(Transaksi!C113="","",Transaksi!H113)</f>
        <v/>
      </c>
      <c r="E114" s="39" t="str">
        <f aca="false">IF(Transaksi!C113="","",Transaksi!G113)</f>
        <v/>
      </c>
      <c r="F114" s="36" t="str">
        <f aca="false">IF(Transaksi!C113="","",Transaksi!J113)</f>
        <v/>
      </c>
      <c r="G114" s="36" t="str">
        <f aca="false">IF(Transaksi!C113="","",Transaksi!K113)</f>
        <v/>
      </c>
      <c r="H114" s="36" t="str">
        <f aca="false">IF($B114="","",Pengaturan!$C$10+SUMIFS(Transaksi!$J$6:$J113,Transaksi!$G$6:$G113,Pengaturan!$F$19)-SUMIFS(Transaksi!$K$6:$K113,Transaksi!$G$6:$G113,Pengaturan!$F$19))</f>
        <v/>
      </c>
      <c r="I114" s="36" t="str">
        <f aca="false">IF($B114="","",Pengaturan!$C$11+SUMIFS(Transaksi!$J$6:$J113,Transaksi!$G$6:$G113,Pengaturan!$F$20)-SUMIFS(Transaksi!$K$6:$K113,Transaksi!$G$6:$G113,Pengaturan!$F$20))</f>
        <v/>
      </c>
      <c r="J114" s="41" t="str">
        <f aca="false">IF($B114="","",H114+I114)</f>
        <v/>
      </c>
    </row>
    <row r="115" customFormat="false" ht="15" hidden="false" customHeight="false" outlineLevel="0" collapsed="false">
      <c r="B115" s="38" t="str">
        <f aca="false">IF(Transaksi!C114="","",Transaksi!C114)</f>
        <v/>
      </c>
      <c r="C115" s="39" t="str">
        <f aca="false">IF(Transaksi!C114="","",Transaksi!D114)</f>
        <v/>
      </c>
      <c r="D115" s="40" t="str">
        <f aca="false">IF(Transaksi!C114="","",Transaksi!H114)</f>
        <v/>
      </c>
      <c r="E115" s="39" t="str">
        <f aca="false">IF(Transaksi!C114="","",Transaksi!G114)</f>
        <v/>
      </c>
      <c r="F115" s="36" t="str">
        <f aca="false">IF(Transaksi!C114="","",Transaksi!J114)</f>
        <v/>
      </c>
      <c r="G115" s="36" t="str">
        <f aca="false">IF(Transaksi!C114="","",Transaksi!K114)</f>
        <v/>
      </c>
      <c r="H115" s="36" t="str">
        <f aca="false">IF($B115="","",Pengaturan!$C$10+SUMIFS(Transaksi!$J$6:$J114,Transaksi!$G$6:$G114,Pengaturan!$F$19)-SUMIFS(Transaksi!$K$6:$K114,Transaksi!$G$6:$G114,Pengaturan!$F$19))</f>
        <v/>
      </c>
      <c r="I115" s="36" t="str">
        <f aca="false">IF($B115="","",Pengaturan!$C$11+SUMIFS(Transaksi!$J$6:$J114,Transaksi!$G$6:$G114,Pengaturan!$F$20)-SUMIFS(Transaksi!$K$6:$K114,Transaksi!$G$6:$G114,Pengaturan!$F$20))</f>
        <v/>
      </c>
      <c r="J115" s="41" t="str">
        <f aca="false">IF($B115="","",H115+I115)</f>
        <v/>
      </c>
    </row>
    <row r="116" customFormat="false" ht="15" hidden="false" customHeight="false" outlineLevel="0" collapsed="false">
      <c r="B116" s="38" t="str">
        <f aca="false">IF(Transaksi!C115="","",Transaksi!C115)</f>
        <v/>
      </c>
      <c r="C116" s="39" t="str">
        <f aca="false">IF(Transaksi!C115="","",Transaksi!D115)</f>
        <v/>
      </c>
      <c r="D116" s="40" t="str">
        <f aca="false">IF(Transaksi!C115="","",Transaksi!H115)</f>
        <v/>
      </c>
      <c r="E116" s="39" t="str">
        <f aca="false">IF(Transaksi!C115="","",Transaksi!G115)</f>
        <v/>
      </c>
      <c r="F116" s="36" t="str">
        <f aca="false">IF(Transaksi!C115="","",Transaksi!J115)</f>
        <v/>
      </c>
      <c r="G116" s="36" t="str">
        <f aca="false">IF(Transaksi!C115="","",Transaksi!K115)</f>
        <v/>
      </c>
      <c r="H116" s="36" t="str">
        <f aca="false">IF($B116="","",Pengaturan!$C$10+SUMIFS(Transaksi!$J$6:$J115,Transaksi!$G$6:$G115,Pengaturan!$F$19)-SUMIFS(Transaksi!$K$6:$K115,Transaksi!$G$6:$G115,Pengaturan!$F$19))</f>
        <v/>
      </c>
      <c r="I116" s="36" t="str">
        <f aca="false">IF($B116="","",Pengaturan!$C$11+SUMIFS(Transaksi!$J$6:$J115,Transaksi!$G$6:$G115,Pengaturan!$F$20)-SUMIFS(Transaksi!$K$6:$K115,Transaksi!$G$6:$G115,Pengaturan!$F$20))</f>
        <v/>
      </c>
      <c r="J116" s="41" t="str">
        <f aca="false">IF($B116="","",H116+I116)</f>
        <v/>
      </c>
    </row>
    <row r="117" customFormat="false" ht="15" hidden="false" customHeight="false" outlineLevel="0" collapsed="false">
      <c r="B117" s="38" t="str">
        <f aca="false">IF(Transaksi!C116="","",Transaksi!C116)</f>
        <v/>
      </c>
      <c r="C117" s="39" t="str">
        <f aca="false">IF(Transaksi!C116="","",Transaksi!D116)</f>
        <v/>
      </c>
      <c r="D117" s="40" t="str">
        <f aca="false">IF(Transaksi!C116="","",Transaksi!H116)</f>
        <v/>
      </c>
      <c r="E117" s="39" t="str">
        <f aca="false">IF(Transaksi!C116="","",Transaksi!G116)</f>
        <v/>
      </c>
      <c r="F117" s="36" t="str">
        <f aca="false">IF(Transaksi!C116="","",Transaksi!J116)</f>
        <v/>
      </c>
      <c r="G117" s="36" t="str">
        <f aca="false">IF(Transaksi!C116="","",Transaksi!K116)</f>
        <v/>
      </c>
      <c r="H117" s="36" t="str">
        <f aca="false">IF($B117="","",Pengaturan!$C$10+SUMIFS(Transaksi!$J$6:$J116,Transaksi!$G$6:$G116,Pengaturan!$F$19)-SUMIFS(Transaksi!$K$6:$K116,Transaksi!$G$6:$G116,Pengaturan!$F$19))</f>
        <v/>
      </c>
      <c r="I117" s="36" t="str">
        <f aca="false">IF($B117="","",Pengaturan!$C$11+SUMIFS(Transaksi!$J$6:$J116,Transaksi!$G$6:$G116,Pengaturan!$F$20)-SUMIFS(Transaksi!$K$6:$K116,Transaksi!$G$6:$G116,Pengaturan!$F$20))</f>
        <v/>
      </c>
      <c r="J117" s="41" t="str">
        <f aca="false">IF($B117="","",H117+I117)</f>
        <v/>
      </c>
    </row>
    <row r="118" customFormat="false" ht="15" hidden="false" customHeight="false" outlineLevel="0" collapsed="false">
      <c r="B118" s="38" t="str">
        <f aca="false">IF(Transaksi!C117="","",Transaksi!C117)</f>
        <v/>
      </c>
      <c r="C118" s="39" t="str">
        <f aca="false">IF(Transaksi!C117="","",Transaksi!D117)</f>
        <v/>
      </c>
      <c r="D118" s="40" t="str">
        <f aca="false">IF(Transaksi!C117="","",Transaksi!H117)</f>
        <v/>
      </c>
      <c r="E118" s="39" t="str">
        <f aca="false">IF(Transaksi!C117="","",Transaksi!G117)</f>
        <v/>
      </c>
      <c r="F118" s="36" t="str">
        <f aca="false">IF(Transaksi!C117="","",Transaksi!J117)</f>
        <v/>
      </c>
      <c r="G118" s="36" t="str">
        <f aca="false">IF(Transaksi!C117="","",Transaksi!K117)</f>
        <v/>
      </c>
      <c r="H118" s="36" t="str">
        <f aca="false">IF($B118="","",Pengaturan!$C$10+SUMIFS(Transaksi!$J$6:$J117,Transaksi!$G$6:$G117,Pengaturan!$F$19)-SUMIFS(Transaksi!$K$6:$K117,Transaksi!$G$6:$G117,Pengaturan!$F$19))</f>
        <v/>
      </c>
      <c r="I118" s="36" t="str">
        <f aca="false">IF($B118="","",Pengaturan!$C$11+SUMIFS(Transaksi!$J$6:$J117,Transaksi!$G$6:$G117,Pengaturan!$F$20)-SUMIFS(Transaksi!$K$6:$K117,Transaksi!$G$6:$G117,Pengaturan!$F$20))</f>
        <v/>
      </c>
      <c r="J118" s="41" t="str">
        <f aca="false">IF($B118="","",H118+I118)</f>
        <v/>
      </c>
    </row>
    <row r="119" customFormat="false" ht="15" hidden="false" customHeight="false" outlineLevel="0" collapsed="false">
      <c r="B119" s="38" t="str">
        <f aca="false">IF(Transaksi!C118="","",Transaksi!C118)</f>
        <v/>
      </c>
      <c r="C119" s="39" t="str">
        <f aca="false">IF(Transaksi!C118="","",Transaksi!D118)</f>
        <v/>
      </c>
      <c r="D119" s="40" t="str">
        <f aca="false">IF(Transaksi!C118="","",Transaksi!H118)</f>
        <v/>
      </c>
      <c r="E119" s="39" t="str">
        <f aca="false">IF(Transaksi!C118="","",Transaksi!G118)</f>
        <v/>
      </c>
      <c r="F119" s="36" t="str">
        <f aca="false">IF(Transaksi!C118="","",Transaksi!J118)</f>
        <v/>
      </c>
      <c r="G119" s="36" t="str">
        <f aca="false">IF(Transaksi!C118="","",Transaksi!K118)</f>
        <v/>
      </c>
      <c r="H119" s="36" t="str">
        <f aca="false">IF($B119="","",Pengaturan!$C$10+SUMIFS(Transaksi!$J$6:$J118,Transaksi!$G$6:$G118,Pengaturan!$F$19)-SUMIFS(Transaksi!$K$6:$K118,Transaksi!$G$6:$G118,Pengaturan!$F$19))</f>
        <v/>
      </c>
      <c r="I119" s="36" t="str">
        <f aca="false">IF($B119="","",Pengaturan!$C$11+SUMIFS(Transaksi!$J$6:$J118,Transaksi!$G$6:$G118,Pengaturan!$F$20)-SUMIFS(Transaksi!$K$6:$K118,Transaksi!$G$6:$G118,Pengaturan!$F$20))</f>
        <v/>
      </c>
      <c r="J119" s="41" t="str">
        <f aca="false">IF($B119="","",H119+I119)</f>
        <v/>
      </c>
    </row>
    <row r="120" customFormat="false" ht="15" hidden="false" customHeight="false" outlineLevel="0" collapsed="false">
      <c r="B120" s="38" t="str">
        <f aca="false">IF(Transaksi!C119="","",Transaksi!C119)</f>
        <v/>
      </c>
      <c r="C120" s="39" t="str">
        <f aca="false">IF(Transaksi!C119="","",Transaksi!D119)</f>
        <v/>
      </c>
      <c r="D120" s="40" t="str">
        <f aca="false">IF(Transaksi!C119="","",Transaksi!H119)</f>
        <v/>
      </c>
      <c r="E120" s="39" t="str">
        <f aca="false">IF(Transaksi!C119="","",Transaksi!G119)</f>
        <v/>
      </c>
      <c r="F120" s="36" t="str">
        <f aca="false">IF(Transaksi!C119="","",Transaksi!J119)</f>
        <v/>
      </c>
      <c r="G120" s="36" t="str">
        <f aca="false">IF(Transaksi!C119="","",Transaksi!K119)</f>
        <v/>
      </c>
      <c r="H120" s="36" t="str">
        <f aca="false">IF($B120="","",Pengaturan!$C$10+SUMIFS(Transaksi!$J$6:$J119,Transaksi!$G$6:$G119,Pengaturan!$F$19)-SUMIFS(Transaksi!$K$6:$K119,Transaksi!$G$6:$G119,Pengaturan!$F$19))</f>
        <v/>
      </c>
      <c r="I120" s="36" t="str">
        <f aca="false">IF($B120="","",Pengaturan!$C$11+SUMIFS(Transaksi!$J$6:$J119,Transaksi!$G$6:$G119,Pengaturan!$F$20)-SUMIFS(Transaksi!$K$6:$K119,Transaksi!$G$6:$G119,Pengaturan!$F$20))</f>
        <v/>
      </c>
      <c r="J120" s="41" t="str">
        <f aca="false">IF($B120="","",H120+I120)</f>
        <v/>
      </c>
    </row>
    <row r="121" customFormat="false" ht="15" hidden="false" customHeight="false" outlineLevel="0" collapsed="false">
      <c r="B121" s="38" t="str">
        <f aca="false">IF(Transaksi!C120="","",Transaksi!C120)</f>
        <v/>
      </c>
      <c r="C121" s="39" t="str">
        <f aca="false">IF(Transaksi!C120="","",Transaksi!D120)</f>
        <v/>
      </c>
      <c r="D121" s="40" t="str">
        <f aca="false">IF(Transaksi!C120="","",Transaksi!H120)</f>
        <v/>
      </c>
      <c r="E121" s="39" t="str">
        <f aca="false">IF(Transaksi!C120="","",Transaksi!G120)</f>
        <v/>
      </c>
      <c r="F121" s="36" t="str">
        <f aca="false">IF(Transaksi!C120="","",Transaksi!J120)</f>
        <v/>
      </c>
      <c r="G121" s="36" t="str">
        <f aca="false">IF(Transaksi!C120="","",Transaksi!K120)</f>
        <v/>
      </c>
      <c r="H121" s="36" t="str">
        <f aca="false">IF($B121="","",Pengaturan!$C$10+SUMIFS(Transaksi!$J$6:$J120,Transaksi!$G$6:$G120,Pengaturan!$F$19)-SUMIFS(Transaksi!$K$6:$K120,Transaksi!$G$6:$G120,Pengaturan!$F$19))</f>
        <v/>
      </c>
      <c r="I121" s="36" t="str">
        <f aca="false">IF($B121="","",Pengaturan!$C$11+SUMIFS(Transaksi!$J$6:$J120,Transaksi!$G$6:$G120,Pengaturan!$F$20)-SUMIFS(Transaksi!$K$6:$K120,Transaksi!$G$6:$G120,Pengaturan!$F$20))</f>
        <v/>
      </c>
      <c r="J121" s="41" t="str">
        <f aca="false">IF($B121="","",H121+I121)</f>
        <v/>
      </c>
    </row>
    <row r="122" customFormat="false" ht="15" hidden="false" customHeight="false" outlineLevel="0" collapsed="false">
      <c r="B122" s="38" t="str">
        <f aca="false">IF(Transaksi!C121="","",Transaksi!C121)</f>
        <v/>
      </c>
      <c r="C122" s="39" t="str">
        <f aca="false">IF(Transaksi!C121="","",Transaksi!D121)</f>
        <v/>
      </c>
      <c r="D122" s="40" t="str">
        <f aca="false">IF(Transaksi!C121="","",Transaksi!H121)</f>
        <v/>
      </c>
      <c r="E122" s="39" t="str">
        <f aca="false">IF(Transaksi!C121="","",Transaksi!G121)</f>
        <v/>
      </c>
      <c r="F122" s="36" t="str">
        <f aca="false">IF(Transaksi!C121="","",Transaksi!J121)</f>
        <v/>
      </c>
      <c r="G122" s="36" t="str">
        <f aca="false">IF(Transaksi!C121="","",Transaksi!K121)</f>
        <v/>
      </c>
      <c r="H122" s="36" t="str">
        <f aca="false">IF($B122="","",Pengaturan!$C$10+SUMIFS(Transaksi!$J$6:$J121,Transaksi!$G$6:$G121,Pengaturan!$F$19)-SUMIFS(Transaksi!$K$6:$K121,Transaksi!$G$6:$G121,Pengaturan!$F$19))</f>
        <v/>
      </c>
      <c r="I122" s="36" t="str">
        <f aca="false">IF($B122="","",Pengaturan!$C$11+SUMIFS(Transaksi!$J$6:$J121,Transaksi!$G$6:$G121,Pengaturan!$F$20)-SUMIFS(Transaksi!$K$6:$K121,Transaksi!$G$6:$G121,Pengaturan!$F$20))</f>
        <v/>
      </c>
      <c r="J122" s="41" t="str">
        <f aca="false">IF($B122="","",H122+I122)</f>
        <v/>
      </c>
    </row>
    <row r="123" customFormat="false" ht="15" hidden="false" customHeight="false" outlineLevel="0" collapsed="false">
      <c r="B123" s="38" t="str">
        <f aca="false">IF(Transaksi!C122="","",Transaksi!C122)</f>
        <v/>
      </c>
      <c r="C123" s="39" t="str">
        <f aca="false">IF(Transaksi!C122="","",Transaksi!D122)</f>
        <v/>
      </c>
      <c r="D123" s="40" t="str">
        <f aca="false">IF(Transaksi!C122="","",Transaksi!H122)</f>
        <v/>
      </c>
      <c r="E123" s="39" t="str">
        <f aca="false">IF(Transaksi!C122="","",Transaksi!G122)</f>
        <v/>
      </c>
      <c r="F123" s="36" t="str">
        <f aca="false">IF(Transaksi!C122="","",Transaksi!J122)</f>
        <v/>
      </c>
      <c r="G123" s="36" t="str">
        <f aca="false">IF(Transaksi!C122="","",Transaksi!K122)</f>
        <v/>
      </c>
      <c r="H123" s="36" t="str">
        <f aca="false">IF($B123="","",Pengaturan!$C$10+SUMIFS(Transaksi!$J$6:$J122,Transaksi!$G$6:$G122,Pengaturan!$F$19)-SUMIFS(Transaksi!$K$6:$K122,Transaksi!$G$6:$G122,Pengaturan!$F$19))</f>
        <v/>
      </c>
      <c r="I123" s="36" t="str">
        <f aca="false">IF($B123="","",Pengaturan!$C$11+SUMIFS(Transaksi!$J$6:$J122,Transaksi!$G$6:$G122,Pengaturan!$F$20)-SUMIFS(Transaksi!$K$6:$K122,Transaksi!$G$6:$G122,Pengaturan!$F$20))</f>
        <v/>
      </c>
      <c r="J123" s="41" t="str">
        <f aca="false">IF($B123="","",H123+I123)</f>
        <v/>
      </c>
    </row>
    <row r="124" customFormat="false" ht="15" hidden="false" customHeight="false" outlineLevel="0" collapsed="false">
      <c r="B124" s="38" t="str">
        <f aca="false">IF(Transaksi!C123="","",Transaksi!C123)</f>
        <v/>
      </c>
      <c r="C124" s="39" t="str">
        <f aca="false">IF(Transaksi!C123="","",Transaksi!D123)</f>
        <v/>
      </c>
      <c r="D124" s="40" t="str">
        <f aca="false">IF(Transaksi!C123="","",Transaksi!H123)</f>
        <v/>
      </c>
      <c r="E124" s="39" t="str">
        <f aca="false">IF(Transaksi!C123="","",Transaksi!G123)</f>
        <v/>
      </c>
      <c r="F124" s="36" t="str">
        <f aca="false">IF(Transaksi!C123="","",Transaksi!J123)</f>
        <v/>
      </c>
      <c r="G124" s="36" t="str">
        <f aca="false">IF(Transaksi!C123="","",Transaksi!K123)</f>
        <v/>
      </c>
      <c r="H124" s="36" t="str">
        <f aca="false">IF($B124="","",Pengaturan!$C$10+SUMIFS(Transaksi!$J$6:$J123,Transaksi!$G$6:$G123,Pengaturan!$F$19)-SUMIFS(Transaksi!$K$6:$K123,Transaksi!$G$6:$G123,Pengaturan!$F$19))</f>
        <v/>
      </c>
      <c r="I124" s="36" t="str">
        <f aca="false">IF($B124="","",Pengaturan!$C$11+SUMIFS(Transaksi!$J$6:$J123,Transaksi!$G$6:$G123,Pengaturan!$F$20)-SUMIFS(Transaksi!$K$6:$K123,Transaksi!$G$6:$G123,Pengaturan!$F$20))</f>
        <v/>
      </c>
      <c r="J124" s="41" t="str">
        <f aca="false">IF($B124="","",H124+I124)</f>
        <v/>
      </c>
    </row>
    <row r="125" customFormat="false" ht="15" hidden="false" customHeight="false" outlineLevel="0" collapsed="false">
      <c r="B125" s="38" t="str">
        <f aca="false">IF(Transaksi!C124="","",Transaksi!C124)</f>
        <v/>
      </c>
      <c r="C125" s="39" t="str">
        <f aca="false">IF(Transaksi!C124="","",Transaksi!D124)</f>
        <v/>
      </c>
      <c r="D125" s="40" t="str">
        <f aca="false">IF(Transaksi!C124="","",Transaksi!H124)</f>
        <v/>
      </c>
      <c r="E125" s="39" t="str">
        <f aca="false">IF(Transaksi!C124="","",Transaksi!G124)</f>
        <v/>
      </c>
      <c r="F125" s="36" t="str">
        <f aca="false">IF(Transaksi!C124="","",Transaksi!J124)</f>
        <v/>
      </c>
      <c r="G125" s="36" t="str">
        <f aca="false">IF(Transaksi!C124="","",Transaksi!K124)</f>
        <v/>
      </c>
      <c r="H125" s="36" t="str">
        <f aca="false">IF($B125="","",Pengaturan!$C$10+SUMIFS(Transaksi!$J$6:$J124,Transaksi!$G$6:$G124,Pengaturan!$F$19)-SUMIFS(Transaksi!$K$6:$K124,Transaksi!$G$6:$G124,Pengaturan!$F$19))</f>
        <v/>
      </c>
      <c r="I125" s="36" t="str">
        <f aca="false">IF($B125="","",Pengaturan!$C$11+SUMIFS(Transaksi!$J$6:$J124,Transaksi!$G$6:$G124,Pengaturan!$F$20)-SUMIFS(Transaksi!$K$6:$K124,Transaksi!$G$6:$G124,Pengaturan!$F$20))</f>
        <v/>
      </c>
      <c r="J125" s="41" t="str">
        <f aca="false">IF($B125="","",H125+I125)</f>
        <v/>
      </c>
    </row>
    <row r="126" customFormat="false" ht="15" hidden="false" customHeight="false" outlineLevel="0" collapsed="false">
      <c r="B126" s="38" t="str">
        <f aca="false">IF(Transaksi!C125="","",Transaksi!C125)</f>
        <v/>
      </c>
      <c r="C126" s="39" t="str">
        <f aca="false">IF(Transaksi!C125="","",Transaksi!D125)</f>
        <v/>
      </c>
      <c r="D126" s="40" t="str">
        <f aca="false">IF(Transaksi!C125="","",Transaksi!H125)</f>
        <v/>
      </c>
      <c r="E126" s="39" t="str">
        <f aca="false">IF(Transaksi!C125="","",Transaksi!G125)</f>
        <v/>
      </c>
      <c r="F126" s="36" t="str">
        <f aca="false">IF(Transaksi!C125="","",Transaksi!J125)</f>
        <v/>
      </c>
      <c r="G126" s="36" t="str">
        <f aca="false">IF(Transaksi!C125="","",Transaksi!K125)</f>
        <v/>
      </c>
      <c r="H126" s="36" t="str">
        <f aca="false">IF($B126="","",Pengaturan!$C$10+SUMIFS(Transaksi!$J$6:$J125,Transaksi!$G$6:$G125,Pengaturan!$F$19)-SUMIFS(Transaksi!$K$6:$K125,Transaksi!$G$6:$G125,Pengaturan!$F$19))</f>
        <v/>
      </c>
      <c r="I126" s="36" t="str">
        <f aca="false">IF($B126="","",Pengaturan!$C$11+SUMIFS(Transaksi!$J$6:$J125,Transaksi!$G$6:$G125,Pengaturan!$F$20)-SUMIFS(Transaksi!$K$6:$K125,Transaksi!$G$6:$G125,Pengaturan!$F$20))</f>
        <v/>
      </c>
      <c r="J126" s="41" t="str">
        <f aca="false">IF($B126="","",H126+I126)</f>
        <v/>
      </c>
    </row>
    <row r="127" customFormat="false" ht="15" hidden="false" customHeight="false" outlineLevel="0" collapsed="false">
      <c r="B127" s="38" t="str">
        <f aca="false">IF(Transaksi!C126="","",Transaksi!C126)</f>
        <v/>
      </c>
      <c r="C127" s="39" t="str">
        <f aca="false">IF(Transaksi!C126="","",Transaksi!D126)</f>
        <v/>
      </c>
      <c r="D127" s="40" t="str">
        <f aca="false">IF(Transaksi!C126="","",Transaksi!H126)</f>
        <v/>
      </c>
      <c r="E127" s="39" t="str">
        <f aca="false">IF(Transaksi!C126="","",Transaksi!G126)</f>
        <v/>
      </c>
      <c r="F127" s="36" t="str">
        <f aca="false">IF(Transaksi!C126="","",Transaksi!J126)</f>
        <v/>
      </c>
      <c r="G127" s="36" t="str">
        <f aca="false">IF(Transaksi!C126="","",Transaksi!K126)</f>
        <v/>
      </c>
      <c r="H127" s="36" t="str">
        <f aca="false">IF($B127="","",Pengaturan!$C$10+SUMIFS(Transaksi!$J$6:$J126,Transaksi!$G$6:$G126,Pengaturan!$F$19)-SUMIFS(Transaksi!$K$6:$K126,Transaksi!$G$6:$G126,Pengaturan!$F$19))</f>
        <v/>
      </c>
      <c r="I127" s="36" t="str">
        <f aca="false">IF($B127="","",Pengaturan!$C$11+SUMIFS(Transaksi!$J$6:$J126,Transaksi!$G$6:$G126,Pengaturan!$F$20)-SUMIFS(Transaksi!$K$6:$K126,Transaksi!$G$6:$G126,Pengaturan!$F$20))</f>
        <v/>
      </c>
      <c r="J127" s="41" t="str">
        <f aca="false">IF($B127="","",H127+I127)</f>
        <v/>
      </c>
    </row>
    <row r="128" customFormat="false" ht="15" hidden="false" customHeight="false" outlineLevel="0" collapsed="false">
      <c r="B128" s="38" t="str">
        <f aca="false">IF(Transaksi!C127="","",Transaksi!C127)</f>
        <v/>
      </c>
      <c r="C128" s="39" t="str">
        <f aca="false">IF(Transaksi!C127="","",Transaksi!D127)</f>
        <v/>
      </c>
      <c r="D128" s="40" t="str">
        <f aca="false">IF(Transaksi!C127="","",Transaksi!H127)</f>
        <v/>
      </c>
      <c r="E128" s="39" t="str">
        <f aca="false">IF(Transaksi!C127="","",Transaksi!G127)</f>
        <v/>
      </c>
      <c r="F128" s="36" t="str">
        <f aca="false">IF(Transaksi!C127="","",Transaksi!J127)</f>
        <v/>
      </c>
      <c r="G128" s="36" t="str">
        <f aca="false">IF(Transaksi!C127="","",Transaksi!K127)</f>
        <v/>
      </c>
      <c r="H128" s="36" t="str">
        <f aca="false">IF($B128="","",Pengaturan!$C$10+SUMIFS(Transaksi!$J$6:$J127,Transaksi!$G$6:$G127,Pengaturan!$F$19)-SUMIFS(Transaksi!$K$6:$K127,Transaksi!$G$6:$G127,Pengaturan!$F$19))</f>
        <v/>
      </c>
      <c r="I128" s="36" t="str">
        <f aca="false">IF($B128="","",Pengaturan!$C$11+SUMIFS(Transaksi!$J$6:$J127,Transaksi!$G$6:$G127,Pengaturan!$F$20)-SUMIFS(Transaksi!$K$6:$K127,Transaksi!$G$6:$G127,Pengaturan!$F$20))</f>
        <v/>
      </c>
      <c r="J128" s="41" t="str">
        <f aca="false">IF($B128="","",H128+I128)</f>
        <v/>
      </c>
    </row>
    <row r="129" customFormat="false" ht="15" hidden="false" customHeight="false" outlineLevel="0" collapsed="false">
      <c r="B129" s="38" t="str">
        <f aca="false">IF(Transaksi!C128="","",Transaksi!C128)</f>
        <v/>
      </c>
      <c r="C129" s="39" t="str">
        <f aca="false">IF(Transaksi!C128="","",Transaksi!D128)</f>
        <v/>
      </c>
      <c r="D129" s="40" t="str">
        <f aca="false">IF(Transaksi!C128="","",Transaksi!H128)</f>
        <v/>
      </c>
      <c r="E129" s="39" t="str">
        <f aca="false">IF(Transaksi!C128="","",Transaksi!G128)</f>
        <v/>
      </c>
      <c r="F129" s="36" t="str">
        <f aca="false">IF(Transaksi!C128="","",Transaksi!J128)</f>
        <v/>
      </c>
      <c r="G129" s="36" t="str">
        <f aca="false">IF(Transaksi!C128="","",Transaksi!K128)</f>
        <v/>
      </c>
      <c r="H129" s="36" t="str">
        <f aca="false">IF($B129="","",Pengaturan!$C$10+SUMIFS(Transaksi!$J$6:$J128,Transaksi!$G$6:$G128,Pengaturan!$F$19)-SUMIFS(Transaksi!$K$6:$K128,Transaksi!$G$6:$G128,Pengaturan!$F$19))</f>
        <v/>
      </c>
      <c r="I129" s="36" t="str">
        <f aca="false">IF($B129="","",Pengaturan!$C$11+SUMIFS(Transaksi!$J$6:$J128,Transaksi!$G$6:$G128,Pengaturan!$F$20)-SUMIFS(Transaksi!$K$6:$K128,Transaksi!$G$6:$G128,Pengaturan!$F$20))</f>
        <v/>
      </c>
      <c r="J129" s="41" t="str">
        <f aca="false">IF($B129="","",H129+I129)</f>
        <v/>
      </c>
    </row>
    <row r="130" customFormat="false" ht="15" hidden="false" customHeight="false" outlineLevel="0" collapsed="false">
      <c r="B130" s="38" t="str">
        <f aca="false">IF(Transaksi!C129="","",Transaksi!C129)</f>
        <v/>
      </c>
      <c r="C130" s="39" t="str">
        <f aca="false">IF(Transaksi!C129="","",Transaksi!D129)</f>
        <v/>
      </c>
      <c r="D130" s="40" t="str">
        <f aca="false">IF(Transaksi!C129="","",Transaksi!H129)</f>
        <v/>
      </c>
      <c r="E130" s="39" t="str">
        <f aca="false">IF(Transaksi!C129="","",Transaksi!G129)</f>
        <v/>
      </c>
      <c r="F130" s="36" t="str">
        <f aca="false">IF(Transaksi!C129="","",Transaksi!J129)</f>
        <v/>
      </c>
      <c r="G130" s="36" t="str">
        <f aca="false">IF(Transaksi!C129="","",Transaksi!K129)</f>
        <v/>
      </c>
      <c r="H130" s="36" t="str">
        <f aca="false">IF($B130="","",Pengaturan!$C$10+SUMIFS(Transaksi!$J$6:$J129,Transaksi!$G$6:$G129,Pengaturan!$F$19)-SUMIFS(Transaksi!$K$6:$K129,Transaksi!$G$6:$G129,Pengaturan!$F$19))</f>
        <v/>
      </c>
      <c r="I130" s="36" t="str">
        <f aca="false">IF($B130="","",Pengaturan!$C$11+SUMIFS(Transaksi!$J$6:$J129,Transaksi!$G$6:$G129,Pengaturan!$F$20)-SUMIFS(Transaksi!$K$6:$K129,Transaksi!$G$6:$G129,Pengaturan!$F$20))</f>
        <v/>
      </c>
      <c r="J130" s="41" t="str">
        <f aca="false">IF($B130="","",H130+I130)</f>
        <v/>
      </c>
    </row>
    <row r="131" customFormat="false" ht="15" hidden="false" customHeight="false" outlineLevel="0" collapsed="false">
      <c r="B131" s="38" t="str">
        <f aca="false">IF(Transaksi!C130="","",Transaksi!C130)</f>
        <v/>
      </c>
      <c r="C131" s="39" t="str">
        <f aca="false">IF(Transaksi!C130="","",Transaksi!D130)</f>
        <v/>
      </c>
      <c r="D131" s="40" t="str">
        <f aca="false">IF(Transaksi!C130="","",Transaksi!H130)</f>
        <v/>
      </c>
      <c r="E131" s="39" t="str">
        <f aca="false">IF(Transaksi!C130="","",Transaksi!G130)</f>
        <v/>
      </c>
      <c r="F131" s="36" t="str">
        <f aca="false">IF(Transaksi!C130="","",Transaksi!J130)</f>
        <v/>
      </c>
      <c r="G131" s="36" t="str">
        <f aca="false">IF(Transaksi!C130="","",Transaksi!K130)</f>
        <v/>
      </c>
      <c r="H131" s="36" t="str">
        <f aca="false">IF($B131="","",Pengaturan!$C$10+SUMIFS(Transaksi!$J$6:$J130,Transaksi!$G$6:$G130,Pengaturan!$F$19)-SUMIFS(Transaksi!$K$6:$K130,Transaksi!$G$6:$G130,Pengaturan!$F$19))</f>
        <v/>
      </c>
      <c r="I131" s="36" t="str">
        <f aca="false">IF($B131="","",Pengaturan!$C$11+SUMIFS(Transaksi!$J$6:$J130,Transaksi!$G$6:$G130,Pengaturan!$F$20)-SUMIFS(Transaksi!$K$6:$K130,Transaksi!$G$6:$G130,Pengaturan!$F$20))</f>
        <v/>
      </c>
      <c r="J131" s="41" t="str">
        <f aca="false">IF($B131="","",H131+I131)</f>
        <v/>
      </c>
    </row>
    <row r="132" customFormat="false" ht="15" hidden="false" customHeight="false" outlineLevel="0" collapsed="false">
      <c r="B132" s="38" t="str">
        <f aca="false">IF(Transaksi!C131="","",Transaksi!C131)</f>
        <v/>
      </c>
      <c r="C132" s="39" t="str">
        <f aca="false">IF(Transaksi!C131="","",Transaksi!D131)</f>
        <v/>
      </c>
      <c r="D132" s="40" t="str">
        <f aca="false">IF(Transaksi!C131="","",Transaksi!H131)</f>
        <v/>
      </c>
      <c r="E132" s="39" t="str">
        <f aca="false">IF(Transaksi!C131="","",Transaksi!G131)</f>
        <v/>
      </c>
      <c r="F132" s="36" t="str">
        <f aca="false">IF(Transaksi!C131="","",Transaksi!J131)</f>
        <v/>
      </c>
      <c r="G132" s="36" t="str">
        <f aca="false">IF(Transaksi!C131="","",Transaksi!K131)</f>
        <v/>
      </c>
      <c r="H132" s="36" t="str">
        <f aca="false">IF($B132="","",Pengaturan!$C$10+SUMIFS(Transaksi!$J$6:$J131,Transaksi!$G$6:$G131,Pengaturan!$F$19)-SUMIFS(Transaksi!$K$6:$K131,Transaksi!$G$6:$G131,Pengaturan!$F$19))</f>
        <v/>
      </c>
      <c r="I132" s="36" t="str">
        <f aca="false">IF($B132="","",Pengaturan!$C$11+SUMIFS(Transaksi!$J$6:$J131,Transaksi!$G$6:$G131,Pengaturan!$F$20)-SUMIFS(Transaksi!$K$6:$K131,Transaksi!$G$6:$G131,Pengaturan!$F$20))</f>
        <v/>
      </c>
      <c r="J132" s="41" t="str">
        <f aca="false">IF($B132="","",H132+I132)</f>
        <v/>
      </c>
    </row>
    <row r="133" customFormat="false" ht="15" hidden="false" customHeight="false" outlineLevel="0" collapsed="false">
      <c r="B133" s="38" t="str">
        <f aca="false">IF(Transaksi!C132="","",Transaksi!C132)</f>
        <v/>
      </c>
      <c r="C133" s="39" t="str">
        <f aca="false">IF(Transaksi!C132="","",Transaksi!D132)</f>
        <v/>
      </c>
      <c r="D133" s="40" t="str">
        <f aca="false">IF(Transaksi!C132="","",Transaksi!H132)</f>
        <v/>
      </c>
      <c r="E133" s="39" t="str">
        <f aca="false">IF(Transaksi!C132="","",Transaksi!G132)</f>
        <v/>
      </c>
      <c r="F133" s="36" t="str">
        <f aca="false">IF(Transaksi!C132="","",Transaksi!J132)</f>
        <v/>
      </c>
      <c r="G133" s="36" t="str">
        <f aca="false">IF(Transaksi!C132="","",Transaksi!K132)</f>
        <v/>
      </c>
      <c r="H133" s="36" t="str">
        <f aca="false">IF($B133="","",Pengaturan!$C$10+SUMIFS(Transaksi!$J$6:$J132,Transaksi!$G$6:$G132,Pengaturan!$F$19)-SUMIFS(Transaksi!$K$6:$K132,Transaksi!$G$6:$G132,Pengaturan!$F$19))</f>
        <v/>
      </c>
      <c r="I133" s="36" t="str">
        <f aca="false">IF($B133="","",Pengaturan!$C$11+SUMIFS(Transaksi!$J$6:$J132,Transaksi!$G$6:$G132,Pengaturan!$F$20)-SUMIFS(Transaksi!$K$6:$K132,Transaksi!$G$6:$G132,Pengaturan!$F$20))</f>
        <v/>
      </c>
      <c r="J133" s="41" t="str">
        <f aca="false">IF($B133="","",H133+I133)</f>
        <v/>
      </c>
    </row>
    <row r="134" customFormat="false" ht="15" hidden="false" customHeight="false" outlineLevel="0" collapsed="false">
      <c r="B134" s="38" t="str">
        <f aca="false">IF(Transaksi!C133="","",Transaksi!C133)</f>
        <v/>
      </c>
      <c r="C134" s="39" t="str">
        <f aca="false">IF(Transaksi!C133="","",Transaksi!D133)</f>
        <v/>
      </c>
      <c r="D134" s="40" t="str">
        <f aca="false">IF(Transaksi!C133="","",Transaksi!H133)</f>
        <v/>
      </c>
      <c r="E134" s="39" t="str">
        <f aca="false">IF(Transaksi!C133="","",Transaksi!G133)</f>
        <v/>
      </c>
      <c r="F134" s="36" t="str">
        <f aca="false">IF(Transaksi!C133="","",Transaksi!J133)</f>
        <v/>
      </c>
      <c r="G134" s="36" t="str">
        <f aca="false">IF(Transaksi!C133="","",Transaksi!K133)</f>
        <v/>
      </c>
      <c r="H134" s="36" t="str">
        <f aca="false">IF($B134="","",Pengaturan!$C$10+SUMIFS(Transaksi!$J$6:$J133,Transaksi!$G$6:$G133,Pengaturan!$F$19)-SUMIFS(Transaksi!$K$6:$K133,Transaksi!$G$6:$G133,Pengaturan!$F$19))</f>
        <v/>
      </c>
      <c r="I134" s="36" t="str">
        <f aca="false">IF($B134="","",Pengaturan!$C$11+SUMIFS(Transaksi!$J$6:$J133,Transaksi!$G$6:$G133,Pengaturan!$F$20)-SUMIFS(Transaksi!$K$6:$K133,Transaksi!$G$6:$G133,Pengaturan!$F$20))</f>
        <v/>
      </c>
      <c r="J134" s="41" t="str">
        <f aca="false">IF($B134="","",H134+I134)</f>
        <v/>
      </c>
    </row>
    <row r="135" customFormat="false" ht="15" hidden="false" customHeight="false" outlineLevel="0" collapsed="false">
      <c r="B135" s="38" t="str">
        <f aca="false">IF(Transaksi!C134="","",Transaksi!C134)</f>
        <v/>
      </c>
      <c r="C135" s="39" t="str">
        <f aca="false">IF(Transaksi!C134="","",Transaksi!D134)</f>
        <v/>
      </c>
      <c r="D135" s="40" t="str">
        <f aca="false">IF(Transaksi!C134="","",Transaksi!H134)</f>
        <v/>
      </c>
      <c r="E135" s="39" t="str">
        <f aca="false">IF(Transaksi!C134="","",Transaksi!G134)</f>
        <v/>
      </c>
      <c r="F135" s="36" t="str">
        <f aca="false">IF(Transaksi!C134="","",Transaksi!J134)</f>
        <v/>
      </c>
      <c r="G135" s="36" t="str">
        <f aca="false">IF(Transaksi!C134="","",Transaksi!K134)</f>
        <v/>
      </c>
      <c r="H135" s="36" t="str">
        <f aca="false">IF($B135="","",Pengaturan!$C$10+SUMIFS(Transaksi!$J$6:$J134,Transaksi!$G$6:$G134,Pengaturan!$F$19)-SUMIFS(Transaksi!$K$6:$K134,Transaksi!$G$6:$G134,Pengaturan!$F$19))</f>
        <v/>
      </c>
      <c r="I135" s="36" t="str">
        <f aca="false">IF($B135="","",Pengaturan!$C$11+SUMIFS(Transaksi!$J$6:$J134,Transaksi!$G$6:$G134,Pengaturan!$F$20)-SUMIFS(Transaksi!$K$6:$K134,Transaksi!$G$6:$G134,Pengaturan!$F$20))</f>
        <v/>
      </c>
      <c r="J135" s="41" t="str">
        <f aca="false">IF($B135="","",H135+I135)</f>
        <v/>
      </c>
    </row>
    <row r="136" customFormat="false" ht="15" hidden="false" customHeight="false" outlineLevel="0" collapsed="false">
      <c r="B136" s="38" t="str">
        <f aca="false">IF(Transaksi!C135="","",Transaksi!C135)</f>
        <v/>
      </c>
      <c r="C136" s="39" t="str">
        <f aca="false">IF(Transaksi!C135="","",Transaksi!D135)</f>
        <v/>
      </c>
      <c r="D136" s="40" t="str">
        <f aca="false">IF(Transaksi!C135="","",Transaksi!H135)</f>
        <v/>
      </c>
      <c r="E136" s="39" t="str">
        <f aca="false">IF(Transaksi!C135="","",Transaksi!G135)</f>
        <v/>
      </c>
      <c r="F136" s="36" t="str">
        <f aca="false">IF(Transaksi!C135="","",Transaksi!J135)</f>
        <v/>
      </c>
      <c r="G136" s="36" t="str">
        <f aca="false">IF(Transaksi!C135="","",Transaksi!K135)</f>
        <v/>
      </c>
      <c r="H136" s="36" t="str">
        <f aca="false">IF($B136="","",Pengaturan!$C$10+SUMIFS(Transaksi!$J$6:$J135,Transaksi!$G$6:$G135,Pengaturan!$F$19)-SUMIFS(Transaksi!$K$6:$K135,Transaksi!$G$6:$G135,Pengaturan!$F$19))</f>
        <v/>
      </c>
      <c r="I136" s="36" t="str">
        <f aca="false">IF($B136="","",Pengaturan!$C$11+SUMIFS(Transaksi!$J$6:$J135,Transaksi!$G$6:$G135,Pengaturan!$F$20)-SUMIFS(Transaksi!$K$6:$K135,Transaksi!$G$6:$G135,Pengaturan!$F$20))</f>
        <v/>
      </c>
      <c r="J136" s="41" t="str">
        <f aca="false">IF($B136="","",H136+I136)</f>
        <v/>
      </c>
    </row>
    <row r="137" customFormat="false" ht="15" hidden="false" customHeight="false" outlineLevel="0" collapsed="false">
      <c r="B137" s="38" t="str">
        <f aca="false">IF(Transaksi!C136="","",Transaksi!C136)</f>
        <v/>
      </c>
      <c r="C137" s="39" t="str">
        <f aca="false">IF(Transaksi!C136="","",Transaksi!D136)</f>
        <v/>
      </c>
      <c r="D137" s="40" t="str">
        <f aca="false">IF(Transaksi!C136="","",Transaksi!H136)</f>
        <v/>
      </c>
      <c r="E137" s="39" t="str">
        <f aca="false">IF(Transaksi!C136="","",Transaksi!G136)</f>
        <v/>
      </c>
      <c r="F137" s="36" t="str">
        <f aca="false">IF(Transaksi!C136="","",Transaksi!J136)</f>
        <v/>
      </c>
      <c r="G137" s="36" t="str">
        <f aca="false">IF(Transaksi!C136="","",Transaksi!K136)</f>
        <v/>
      </c>
      <c r="H137" s="36" t="str">
        <f aca="false">IF($B137="","",Pengaturan!$C$10+SUMIFS(Transaksi!$J$6:$J136,Transaksi!$G$6:$G136,Pengaturan!$F$19)-SUMIFS(Transaksi!$K$6:$K136,Transaksi!$G$6:$G136,Pengaturan!$F$19))</f>
        <v/>
      </c>
      <c r="I137" s="36" t="str">
        <f aca="false">IF($B137="","",Pengaturan!$C$11+SUMIFS(Transaksi!$J$6:$J136,Transaksi!$G$6:$G136,Pengaturan!$F$20)-SUMIFS(Transaksi!$K$6:$K136,Transaksi!$G$6:$G136,Pengaturan!$F$20))</f>
        <v/>
      </c>
      <c r="J137" s="41" t="str">
        <f aca="false">IF($B137="","",H137+I137)</f>
        <v/>
      </c>
    </row>
    <row r="138" customFormat="false" ht="15" hidden="false" customHeight="false" outlineLevel="0" collapsed="false">
      <c r="B138" s="38" t="str">
        <f aca="false">IF(Transaksi!C137="","",Transaksi!C137)</f>
        <v/>
      </c>
      <c r="C138" s="39" t="str">
        <f aca="false">IF(Transaksi!C137="","",Transaksi!D137)</f>
        <v/>
      </c>
      <c r="D138" s="40" t="str">
        <f aca="false">IF(Transaksi!C137="","",Transaksi!H137)</f>
        <v/>
      </c>
      <c r="E138" s="39" t="str">
        <f aca="false">IF(Transaksi!C137="","",Transaksi!G137)</f>
        <v/>
      </c>
      <c r="F138" s="36" t="str">
        <f aca="false">IF(Transaksi!C137="","",Transaksi!J137)</f>
        <v/>
      </c>
      <c r="G138" s="36" t="str">
        <f aca="false">IF(Transaksi!C137="","",Transaksi!K137)</f>
        <v/>
      </c>
      <c r="H138" s="36" t="str">
        <f aca="false">IF($B138="","",Pengaturan!$C$10+SUMIFS(Transaksi!$J$6:$J137,Transaksi!$G$6:$G137,Pengaturan!$F$19)-SUMIFS(Transaksi!$K$6:$K137,Transaksi!$G$6:$G137,Pengaturan!$F$19))</f>
        <v/>
      </c>
      <c r="I138" s="36" t="str">
        <f aca="false">IF($B138="","",Pengaturan!$C$11+SUMIFS(Transaksi!$J$6:$J137,Transaksi!$G$6:$G137,Pengaturan!$F$20)-SUMIFS(Transaksi!$K$6:$K137,Transaksi!$G$6:$G137,Pengaturan!$F$20))</f>
        <v/>
      </c>
      <c r="J138" s="41" t="str">
        <f aca="false">IF($B138="","",H138+I138)</f>
        <v/>
      </c>
    </row>
    <row r="139" customFormat="false" ht="15" hidden="false" customHeight="false" outlineLevel="0" collapsed="false">
      <c r="B139" s="38" t="str">
        <f aca="false">IF(Transaksi!C138="","",Transaksi!C138)</f>
        <v/>
      </c>
      <c r="C139" s="39" t="str">
        <f aca="false">IF(Transaksi!C138="","",Transaksi!D138)</f>
        <v/>
      </c>
      <c r="D139" s="40" t="str">
        <f aca="false">IF(Transaksi!C138="","",Transaksi!H138)</f>
        <v/>
      </c>
      <c r="E139" s="39" t="str">
        <f aca="false">IF(Transaksi!C138="","",Transaksi!G138)</f>
        <v/>
      </c>
      <c r="F139" s="36" t="str">
        <f aca="false">IF(Transaksi!C138="","",Transaksi!J138)</f>
        <v/>
      </c>
      <c r="G139" s="36" t="str">
        <f aca="false">IF(Transaksi!C138="","",Transaksi!K138)</f>
        <v/>
      </c>
      <c r="H139" s="36" t="str">
        <f aca="false">IF($B139="","",Pengaturan!$C$10+SUMIFS(Transaksi!$J$6:$J138,Transaksi!$G$6:$G138,Pengaturan!$F$19)-SUMIFS(Transaksi!$K$6:$K138,Transaksi!$G$6:$G138,Pengaturan!$F$19))</f>
        <v/>
      </c>
      <c r="I139" s="36" t="str">
        <f aca="false">IF($B139="","",Pengaturan!$C$11+SUMIFS(Transaksi!$J$6:$J138,Transaksi!$G$6:$G138,Pengaturan!$F$20)-SUMIFS(Transaksi!$K$6:$K138,Transaksi!$G$6:$G138,Pengaturan!$F$20))</f>
        <v/>
      </c>
      <c r="J139" s="41" t="str">
        <f aca="false">IF($B139="","",H139+I139)</f>
        <v/>
      </c>
    </row>
    <row r="140" customFormat="false" ht="15" hidden="false" customHeight="false" outlineLevel="0" collapsed="false">
      <c r="B140" s="38" t="str">
        <f aca="false">IF(Transaksi!C139="","",Transaksi!C139)</f>
        <v/>
      </c>
      <c r="C140" s="39" t="str">
        <f aca="false">IF(Transaksi!C139="","",Transaksi!D139)</f>
        <v/>
      </c>
      <c r="D140" s="40" t="str">
        <f aca="false">IF(Transaksi!C139="","",Transaksi!H139)</f>
        <v/>
      </c>
      <c r="E140" s="39" t="str">
        <f aca="false">IF(Transaksi!C139="","",Transaksi!G139)</f>
        <v/>
      </c>
      <c r="F140" s="36" t="str">
        <f aca="false">IF(Transaksi!C139="","",Transaksi!J139)</f>
        <v/>
      </c>
      <c r="G140" s="36" t="str">
        <f aca="false">IF(Transaksi!C139="","",Transaksi!K139)</f>
        <v/>
      </c>
      <c r="H140" s="36" t="str">
        <f aca="false">IF($B140="","",Pengaturan!$C$10+SUMIFS(Transaksi!$J$6:$J139,Transaksi!$G$6:$G139,Pengaturan!$F$19)-SUMIFS(Transaksi!$K$6:$K139,Transaksi!$G$6:$G139,Pengaturan!$F$19))</f>
        <v/>
      </c>
      <c r="I140" s="36" t="str">
        <f aca="false">IF($B140="","",Pengaturan!$C$11+SUMIFS(Transaksi!$J$6:$J139,Transaksi!$G$6:$G139,Pengaturan!$F$20)-SUMIFS(Transaksi!$K$6:$K139,Transaksi!$G$6:$G139,Pengaturan!$F$20))</f>
        <v/>
      </c>
      <c r="J140" s="41" t="str">
        <f aca="false">IF($B140="","",H140+I140)</f>
        <v/>
      </c>
    </row>
    <row r="141" customFormat="false" ht="15" hidden="false" customHeight="false" outlineLevel="0" collapsed="false">
      <c r="B141" s="38" t="str">
        <f aca="false">IF(Transaksi!C140="","",Transaksi!C140)</f>
        <v/>
      </c>
      <c r="C141" s="39" t="str">
        <f aca="false">IF(Transaksi!C140="","",Transaksi!D140)</f>
        <v/>
      </c>
      <c r="D141" s="40" t="str">
        <f aca="false">IF(Transaksi!C140="","",Transaksi!H140)</f>
        <v/>
      </c>
      <c r="E141" s="39" t="str">
        <f aca="false">IF(Transaksi!C140="","",Transaksi!G140)</f>
        <v/>
      </c>
      <c r="F141" s="36" t="str">
        <f aca="false">IF(Transaksi!C140="","",Transaksi!J140)</f>
        <v/>
      </c>
      <c r="G141" s="36" t="str">
        <f aca="false">IF(Transaksi!C140="","",Transaksi!K140)</f>
        <v/>
      </c>
      <c r="H141" s="36" t="str">
        <f aca="false">IF($B141="","",Pengaturan!$C$10+SUMIFS(Transaksi!$J$6:$J140,Transaksi!$G$6:$G140,Pengaturan!$F$19)-SUMIFS(Transaksi!$K$6:$K140,Transaksi!$G$6:$G140,Pengaturan!$F$19))</f>
        <v/>
      </c>
      <c r="I141" s="36" t="str">
        <f aca="false">IF($B141="","",Pengaturan!$C$11+SUMIFS(Transaksi!$J$6:$J140,Transaksi!$G$6:$G140,Pengaturan!$F$20)-SUMIFS(Transaksi!$K$6:$K140,Transaksi!$G$6:$G140,Pengaturan!$F$20))</f>
        <v/>
      </c>
      <c r="J141" s="41" t="str">
        <f aca="false">IF($B141="","",H141+I141)</f>
        <v/>
      </c>
    </row>
    <row r="142" customFormat="false" ht="15" hidden="false" customHeight="false" outlineLevel="0" collapsed="false">
      <c r="B142" s="38" t="str">
        <f aca="false">IF(Transaksi!C141="","",Transaksi!C141)</f>
        <v/>
      </c>
      <c r="C142" s="39" t="str">
        <f aca="false">IF(Transaksi!C141="","",Transaksi!D141)</f>
        <v/>
      </c>
      <c r="D142" s="40" t="str">
        <f aca="false">IF(Transaksi!C141="","",Transaksi!H141)</f>
        <v/>
      </c>
      <c r="E142" s="39" t="str">
        <f aca="false">IF(Transaksi!C141="","",Transaksi!G141)</f>
        <v/>
      </c>
      <c r="F142" s="36" t="str">
        <f aca="false">IF(Transaksi!C141="","",Transaksi!J141)</f>
        <v/>
      </c>
      <c r="G142" s="36" t="str">
        <f aca="false">IF(Transaksi!C141="","",Transaksi!K141)</f>
        <v/>
      </c>
      <c r="H142" s="36" t="str">
        <f aca="false">IF($B142="","",Pengaturan!$C$10+SUMIFS(Transaksi!$J$6:$J141,Transaksi!$G$6:$G141,Pengaturan!$F$19)-SUMIFS(Transaksi!$K$6:$K141,Transaksi!$G$6:$G141,Pengaturan!$F$19))</f>
        <v/>
      </c>
      <c r="I142" s="36" t="str">
        <f aca="false">IF($B142="","",Pengaturan!$C$11+SUMIFS(Transaksi!$J$6:$J141,Transaksi!$G$6:$G141,Pengaturan!$F$20)-SUMIFS(Transaksi!$K$6:$K141,Transaksi!$G$6:$G141,Pengaturan!$F$20))</f>
        <v/>
      </c>
      <c r="J142" s="41" t="str">
        <f aca="false">IF($B142="","",H142+I142)</f>
        <v/>
      </c>
    </row>
    <row r="143" customFormat="false" ht="15" hidden="false" customHeight="false" outlineLevel="0" collapsed="false">
      <c r="B143" s="38" t="str">
        <f aca="false">IF(Transaksi!C142="","",Transaksi!C142)</f>
        <v/>
      </c>
      <c r="C143" s="39" t="str">
        <f aca="false">IF(Transaksi!C142="","",Transaksi!D142)</f>
        <v/>
      </c>
      <c r="D143" s="40" t="str">
        <f aca="false">IF(Transaksi!C142="","",Transaksi!H142)</f>
        <v/>
      </c>
      <c r="E143" s="39" t="str">
        <f aca="false">IF(Transaksi!C142="","",Transaksi!G142)</f>
        <v/>
      </c>
      <c r="F143" s="36" t="str">
        <f aca="false">IF(Transaksi!C142="","",Transaksi!J142)</f>
        <v/>
      </c>
      <c r="G143" s="36" t="str">
        <f aca="false">IF(Transaksi!C142="","",Transaksi!K142)</f>
        <v/>
      </c>
      <c r="H143" s="36" t="str">
        <f aca="false">IF($B143="","",Pengaturan!$C$10+SUMIFS(Transaksi!$J$6:$J142,Transaksi!$G$6:$G142,Pengaturan!$F$19)-SUMIFS(Transaksi!$K$6:$K142,Transaksi!$G$6:$G142,Pengaturan!$F$19))</f>
        <v/>
      </c>
      <c r="I143" s="36" t="str">
        <f aca="false">IF($B143="","",Pengaturan!$C$11+SUMIFS(Transaksi!$J$6:$J142,Transaksi!$G$6:$G142,Pengaturan!$F$20)-SUMIFS(Transaksi!$K$6:$K142,Transaksi!$G$6:$G142,Pengaturan!$F$20))</f>
        <v/>
      </c>
      <c r="J143" s="41" t="str">
        <f aca="false">IF($B143="","",H143+I143)</f>
        <v/>
      </c>
    </row>
    <row r="144" customFormat="false" ht="15" hidden="false" customHeight="false" outlineLevel="0" collapsed="false">
      <c r="B144" s="38" t="str">
        <f aca="false">IF(Transaksi!C143="","",Transaksi!C143)</f>
        <v/>
      </c>
      <c r="C144" s="39" t="str">
        <f aca="false">IF(Transaksi!C143="","",Transaksi!D143)</f>
        <v/>
      </c>
      <c r="D144" s="40" t="str">
        <f aca="false">IF(Transaksi!C143="","",Transaksi!H143)</f>
        <v/>
      </c>
      <c r="E144" s="39" t="str">
        <f aca="false">IF(Transaksi!C143="","",Transaksi!G143)</f>
        <v/>
      </c>
      <c r="F144" s="36" t="str">
        <f aca="false">IF(Transaksi!C143="","",Transaksi!J143)</f>
        <v/>
      </c>
      <c r="G144" s="36" t="str">
        <f aca="false">IF(Transaksi!C143="","",Transaksi!K143)</f>
        <v/>
      </c>
      <c r="H144" s="36" t="str">
        <f aca="false">IF($B144="","",Pengaturan!$C$10+SUMIFS(Transaksi!$J$6:$J143,Transaksi!$G$6:$G143,Pengaturan!$F$19)-SUMIFS(Transaksi!$K$6:$K143,Transaksi!$G$6:$G143,Pengaturan!$F$19))</f>
        <v/>
      </c>
      <c r="I144" s="36" t="str">
        <f aca="false">IF($B144="","",Pengaturan!$C$11+SUMIFS(Transaksi!$J$6:$J143,Transaksi!$G$6:$G143,Pengaturan!$F$20)-SUMIFS(Transaksi!$K$6:$K143,Transaksi!$G$6:$G143,Pengaturan!$F$20))</f>
        <v/>
      </c>
      <c r="J144" s="41" t="str">
        <f aca="false">IF($B144="","",H144+I144)</f>
        <v/>
      </c>
    </row>
    <row r="145" customFormat="false" ht="15" hidden="false" customHeight="false" outlineLevel="0" collapsed="false">
      <c r="B145" s="38" t="str">
        <f aca="false">IF(Transaksi!C144="","",Transaksi!C144)</f>
        <v/>
      </c>
      <c r="C145" s="39" t="str">
        <f aca="false">IF(Transaksi!C144="","",Transaksi!D144)</f>
        <v/>
      </c>
      <c r="D145" s="40" t="str">
        <f aca="false">IF(Transaksi!C144="","",Transaksi!H144)</f>
        <v/>
      </c>
      <c r="E145" s="39" t="str">
        <f aca="false">IF(Transaksi!C144="","",Transaksi!G144)</f>
        <v/>
      </c>
      <c r="F145" s="36" t="str">
        <f aca="false">IF(Transaksi!C144="","",Transaksi!J144)</f>
        <v/>
      </c>
      <c r="G145" s="36" t="str">
        <f aca="false">IF(Transaksi!C144="","",Transaksi!K144)</f>
        <v/>
      </c>
      <c r="H145" s="36" t="str">
        <f aca="false">IF($B145="","",Pengaturan!$C$10+SUMIFS(Transaksi!$J$6:$J144,Transaksi!$G$6:$G144,Pengaturan!$F$19)-SUMIFS(Transaksi!$K$6:$K144,Transaksi!$G$6:$G144,Pengaturan!$F$19))</f>
        <v/>
      </c>
      <c r="I145" s="36" t="str">
        <f aca="false">IF($B145="","",Pengaturan!$C$11+SUMIFS(Transaksi!$J$6:$J144,Transaksi!$G$6:$G144,Pengaturan!$F$20)-SUMIFS(Transaksi!$K$6:$K144,Transaksi!$G$6:$G144,Pengaturan!$F$20))</f>
        <v/>
      </c>
      <c r="J145" s="41" t="str">
        <f aca="false">IF($B145="","",H145+I145)</f>
        <v/>
      </c>
    </row>
    <row r="146" customFormat="false" ht="15" hidden="false" customHeight="false" outlineLevel="0" collapsed="false">
      <c r="B146" s="38" t="str">
        <f aca="false">IF(Transaksi!C145="","",Transaksi!C145)</f>
        <v/>
      </c>
      <c r="C146" s="39" t="str">
        <f aca="false">IF(Transaksi!C145="","",Transaksi!D145)</f>
        <v/>
      </c>
      <c r="D146" s="40" t="str">
        <f aca="false">IF(Transaksi!C145="","",Transaksi!H145)</f>
        <v/>
      </c>
      <c r="E146" s="39" t="str">
        <f aca="false">IF(Transaksi!C145="","",Transaksi!G145)</f>
        <v/>
      </c>
      <c r="F146" s="36" t="str">
        <f aca="false">IF(Transaksi!C145="","",Transaksi!J145)</f>
        <v/>
      </c>
      <c r="G146" s="36" t="str">
        <f aca="false">IF(Transaksi!C145="","",Transaksi!K145)</f>
        <v/>
      </c>
      <c r="H146" s="36" t="str">
        <f aca="false">IF($B146="","",Pengaturan!$C$10+SUMIFS(Transaksi!$J$6:$J145,Transaksi!$G$6:$G145,Pengaturan!$F$19)-SUMIFS(Transaksi!$K$6:$K145,Transaksi!$G$6:$G145,Pengaturan!$F$19))</f>
        <v/>
      </c>
      <c r="I146" s="36" t="str">
        <f aca="false">IF($B146="","",Pengaturan!$C$11+SUMIFS(Transaksi!$J$6:$J145,Transaksi!$G$6:$G145,Pengaturan!$F$20)-SUMIFS(Transaksi!$K$6:$K145,Transaksi!$G$6:$G145,Pengaturan!$F$20))</f>
        <v/>
      </c>
      <c r="J146" s="41" t="str">
        <f aca="false">IF($B146="","",H146+I146)</f>
        <v/>
      </c>
    </row>
    <row r="147" customFormat="false" ht="15" hidden="false" customHeight="false" outlineLevel="0" collapsed="false">
      <c r="B147" s="38" t="str">
        <f aca="false">IF(Transaksi!C146="","",Transaksi!C146)</f>
        <v/>
      </c>
      <c r="C147" s="39" t="str">
        <f aca="false">IF(Transaksi!C146="","",Transaksi!D146)</f>
        <v/>
      </c>
      <c r="D147" s="40" t="str">
        <f aca="false">IF(Transaksi!C146="","",Transaksi!H146)</f>
        <v/>
      </c>
      <c r="E147" s="39" t="str">
        <f aca="false">IF(Transaksi!C146="","",Transaksi!G146)</f>
        <v/>
      </c>
      <c r="F147" s="36" t="str">
        <f aca="false">IF(Transaksi!C146="","",Transaksi!J146)</f>
        <v/>
      </c>
      <c r="G147" s="36" t="str">
        <f aca="false">IF(Transaksi!C146="","",Transaksi!K146)</f>
        <v/>
      </c>
      <c r="H147" s="36" t="str">
        <f aca="false">IF($B147="","",Pengaturan!$C$10+SUMIFS(Transaksi!$J$6:$J146,Transaksi!$G$6:$G146,Pengaturan!$F$19)-SUMIFS(Transaksi!$K$6:$K146,Transaksi!$G$6:$G146,Pengaturan!$F$19))</f>
        <v/>
      </c>
      <c r="I147" s="36" t="str">
        <f aca="false">IF($B147="","",Pengaturan!$C$11+SUMIFS(Transaksi!$J$6:$J146,Transaksi!$G$6:$G146,Pengaturan!$F$20)-SUMIFS(Transaksi!$K$6:$K146,Transaksi!$G$6:$G146,Pengaturan!$F$20))</f>
        <v/>
      </c>
      <c r="J147" s="41" t="str">
        <f aca="false">IF($B147="","",H147+I147)</f>
        <v/>
      </c>
    </row>
    <row r="148" customFormat="false" ht="15" hidden="false" customHeight="false" outlineLevel="0" collapsed="false">
      <c r="B148" s="38" t="str">
        <f aca="false">IF(Transaksi!C147="","",Transaksi!C147)</f>
        <v/>
      </c>
      <c r="C148" s="39" t="str">
        <f aca="false">IF(Transaksi!C147="","",Transaksi!D147)</f>
        <v/>
      </c>
      <c r="D148" s="40" t="str">
        <f aca="false">IF(Transaksi!C147="","",Transaksi!H147)</f>
        <v/>
      </c>
      <c r="E148" s="39" t="str">
        <f aca="false">IF(Transaksi!C147="","",Transaksi!G147)</f>
        <v/>
      </c>
      <c r="F148" s="36" t="str">
        <f aca="false">IF(Transaksi!C147="","",Transaksi!J147)</f>
        <v/>
      </c>
      <c r="G148" s="36" t="str">
        <f aca="false">IF(Transaksi!C147="","",Transaksi!K147)</f>
        <v/>
      </c>
      <c r="H148" s="36" t="str">
        <f aca="false">IF($B148="","",Pengaturan!$C$10+SUMIFS(Transaksi!$J$6:$J147,Transaksi!$G$6:$G147,Pengaturan!$F$19)-SUMIFS(Transaksi!$K$6:$K147,Transaksi!$G$6:$G147,Pengaturan!$F$19))</f>
        <v/>
      </c>
      <c r="I148" s="36" t="str">
        <f aca="false">IF($B148="","",Pengaturan!$C$11+SUMIFS(Transaksi!$J$6:$J147,Transaksi!$G$6:$G147,Pengaturan!$F$20)-SUMIFS(Transaksi!$K$6:$K147,Transaksi!$G$6:$G147,Pengaturan!$F$20))</f>
        <v/>
      </c>
      <c r="J148" s="41" t="str">
        <f aca="false">IF($B148="","",H148+I148)</f>
        <v/>
      </c>
    </row>
    <row r="149" customFormat="false" ht="15" hidden="false" customHeight="false" outlineLevel="0" collapsed="false">
      <c r="B149" s="38" t="str">
        <f aca="false">IF(Transaksi!C148="","",Transaksi!C148)</f>
        <v/>
      </c>
      <c r="C149" s="39" t="str">
        <f aca="false">IF(Transaksi!C148="","",Transaksi!D148)</f>
        <v/>
      </c>
      <c r="D149" s="40" t="str">
        <f aca="false">IF(Transaksi!C148="","",Transaksi!H148)</f>
        <v/>
      </c>
      <c r="E149" s="39" t="str">
        <f aca="false">IF(Transaksi!C148="","",Transaksi!G148)</f>
        <v/>
      </c>
      <c r="F149" s="36" t="str">
        <f aca="false">IF(Transaksi!C148="","",Transaksi!J148)</f>
        <v/>
      </c>
      <c r="G149" s="36" t="str">
        <f aca="false">IF(Transaksi!C148="","",Transaksi!K148)</f>
        <v/>
      </c>
      <c r="H149" s="36" t="str">
        <f aca="false">IF($B149="","",Pengaturan!$C$10+SUMIFS(Transaksi!$J$6:$J148,Transaksi!$G$6:$G148,Pengaturan!$F$19)-SUMIFS(Transaksi!$K$6:$K148,Transaksi!$G$6:$G148,Pengaturan!$F$19))</f>
        <v/>
      </c>
      <c r="I149" s="36" t="str">
        <f aca="false">IF($B149="","",Pengaturan!$C$11+SUMIFS(Transaksi!$J$6:$J148,Transaksi!$G$6:$G148,Pengaturan!$F$20)-SUMIFS(Transaksi!$K$6:$K148,Transaksi!$G$6:$G148,Pengaturan!$F$20))</f>
        <v/>
      </c>
      <c r="J149" s="41" t="str">
        <f aca="false">IF($B149="","",H149+I149)</f>
        <v/>
      </c>
    </row>
    <row r="150" customFormat="false" ht="15" hidden="false" customHeight="false" outlineLevel="0" collapsed="false">
      <c r="B150" s="38" t="str">
        <f aca="false">IF(Transaksi!C149="","",Transaksi!C149)</f>
        <v/>
      </c>
      <c r="C150" s="39" t="str">
        <f aca="false">IF(Transaksi!C149="","",Transaksi!D149)</f>
        <v/>
      </c>
      <c r="D150" s="40" t="str">
        <f aca="false">IF(Transaksi!C149="","",Transaksi!H149)</f>
        <v/>
      </c>
      <c r="E150" s="39" t="str">
        <f aca="false">IF(Transaksi!C149="","",Transaksi!G149)</f>
        <v/>
      </c>
      <c r="F150" s="36" t="str">
        <f aca="false">IF(Transaksi!C149="","",Transaksi!J149)</f>
        <v/>
      </c>
      <c r="G150" s="36" t="str">
        <f aca="false">IF(Transaksi!C149="","",Transaksi!K149)</f>
        <v/>
      </c>
      <c r="H150" s="36" t="str">
        <f aca="false">IF($B150="","",Pengaturan!$C$10+SUMIFS(Transaksi!$J$6:$J149,Transaksi!$G$6:$G149,Pengaturan!$F$19)-SUMIFS(Transaksi!$K$6:$K149,Transaksi!$G$6:$G149,Pengaturan!$F$19))</f>
        <v/>
      </c>
      <c r="I150" s="36" t="str">
        <f aca="false">IF($B150="","",Pengaturan!$C$11+SUMIFS(Transaksi!$J$6:$J149,Transaksi!$G$6:$G149,Pengaturan!$F$20)-SUMIFS(Transaksi!$K$6:$K149,Transaksi!$G$6:$G149,Pengaturan!$F$20))</f>
        <v/>
      </c>
      <c r="J150" s="41" t="str">
        <f aca="false">IF($B150="","",H150+I150)</f>
        <v/>
      </c>
    </row>
    <row r="151" customFormat="false" ht="15" hidden="false" customHeight="false" outlineLevel="0" collapsed="false">
      <c r="B151" s="38" t="str">
        <f aca="false">IF(Transaksi!C150="","",Transaksi!C150)</f>
        <v/>
      </c>
      <c r="C151" s="39" t="str">
        <f aca="false">IF(Transaksi!C150="","",Transaksi!D150)</f>
        <v/>
      </c>
      <c r="D151" s="40" t="str">
        <f aca="false">IF(Transaksi!C150="","",Transaksi!H150)</f>
        <v/>
      </c>
      <c r="E151" s="39" t="str">
        <f aca="false">IF(Transaksi!C150="","",Transaksi!G150)</f>
        <v/>
      </c>
      <c r="F151" s="36" t="str">
        <f aca="false">IF(Transaksi!C150="","",Transaksi!J150)</f>
        <v/>
      </c>
      <c r="G151" s="36" t="str">
        <f aca="false">IF(Transaksi!C150="","",Transaksi!K150)</f>
        <v/>
      </c>
      <c r="H151" s="36" t="str">
        <f aca="false">IF($B151="","",Pengaturan!$C$10+SUMIFS(Transaksi!$J$6:$J150,Transaksi!$G$6:$G150,Pengaturan!$F$19)-SUMIFS(Transaksi!$K$6:$K150,Transaksi!$G$6:$G150,Pengaturan!$F$19))</f>
        <v/>
      </c>
      <c r="I151" s="36" t="str">
        <f aca="false">IF($B151="","",Pengaturan!$C$11+SUMIFS(Transaksi!$J$6:$J150,Transaksi!$G$6:$G150,Pengaturan!$F$20)-SUMIFS(Transaksi!$K$6:$K150,Transaksi!$G$6:$G150,Pengaturan!$F$20))</f>
        <v/>
      </c>
      <c r="J151" s="41" t="str">
        <f aca="false">IF($B151="","",H151+I151)</f>
        <v/>
      </c>
    </row>
    <row r="152" customFormat="false" ht="15" hidden="false" customHeight="false" outlineLevel="0" collapsed="false">
      <c r="B152" s="38" t="str">
        <f aca="false">IF(Transaksi!C151="","",Transaksi!C151)</f>
        <v/>
      </c>
      <c r="C152" s="39" t="str">
        <f aca="false">IF(Transaksi!C151="","",Transaksi!D151)</f>
        <v/>
      </c>
      <c r="D152" s="40" t="str">
        <f aca="false">IF(Transaksi!C151="","",Transaksi!H151)</f>
        <v/>
      </c>
      <c r="E152" s="39" t="str">
        <f aca="false">IF(Transaksi!C151="","",Transaksi!G151)</f>
        <v/>
      </c>
      <c r="F152" s="36" t="str">
        <f aca="false">IF(Transaksi!C151="","",Transaksi!J151)</f>
        <v/>
      </c>
      <c r="G152" s="36" t="str">
        <f aca="false">IF(Transaksi!C151="","",Transaksi!K151)</f>
        <v/>
      </c>
      <c r="H152" s="36" t="str">
        <f aca="false">IF($B152="","",Pengaturan!$C$10+SUMIFS(Transaksi!$J$6:$J151,Transaksi!$G$6:$G151,Pengaturan!$F$19)-SUMIFS(Transaksi!$K$6:$K151,Transaksi!$G$6:$G151,Pengaturan!$F$19))</f>
        <v/>
      </c>
      <c r="I152" s="36" t="str">
        <f aca="false">IF($B152="","",Pengaturan!$C$11+SUMIFS(Transaksi!$J$6:$J151,Transaksi!$G$6:$G151,Pengaturan!$F$20)-SUMIFS(Transaksi!$K$6:$K151,Transaksi!$G$6:$G151,Pengaturan!$F$20))</f>
        <v/>
      </c>
      <c r="J152" s="41" t="str">
        <f aca="false">IF($B152="","",H152+I152)</f>
        <v/>
      </c>
    </row>
    <row r="153" customFormat="false" ht="15" hidden="false" customHeight="false" outlineLevel="0" collapsed="false">
      <c r="B153" s="38" t="str">
        <f aca="false">IF(Transaksi!C152="","",Transaksi!C152)</f>
        <v/>
      </c>
      <c r="C153" s="39" t="str">
        <f aca="false">IF(Transaksi!C152="","",Transaksi!D152)</f>
        <v/>
      </c>
      <c r="D153" s="40" t="str">
        <f aca="false">IF(Transaksi!C152="","",Transaksi!H152)</f>
        <v/>
      </c>
      <c r="E153" s="39" t="str">
        <f aca="false">IF(Transaksi!C152="","",Transaksi!G152)</f>
        <v/>
      </c>
      <c r="F153" s="36" t="str">
        <f aca="false">IF(Transaksi!C152="","",Transaksi!J152)</f>
        <v/>
      </c>
      <c r="G153" s="36" t="str">
        <f aca="false">IF(Transaksi!C152="","",Transaksi!K152)</f>
        <v/>
      </c>
      <c r="H153" s="36" t="str">
        <f aca="false">IF($B153="","",Pengaturan!$C$10+SUMIFS(Transaksi!$J$6:$J152,Transaksi!$G$6:$G152,Pengaturan!$F$19)-SUMIFS(Transaksi!$K$6:$K152,Transaksi!$G$6:$G152,Pengaturan!$F$19))</f>
        <v/>
      </c>
      <c r="I153" s="36" t="str">
        <f aca="false">IF($B153="","",Pengaturan!$C$11+SUMIFS(Transaksi!$J$6:$J152,Transaksi!$G$6:$G152,Pengaturan!$F$20)-SUMIFS(Transaksi!$K$6:$K152,Transaksi!$G$6:$G152,Pengaturan!$F$20))</f>
        <v/>
      </c>
      <c r="J153" s="41" t="str">
        <f aca="false">IF($B153="","",H153+I153)</f>
        <v/>
      </c>
    </row>
    <row r="154" customFormat="false" ht="15" hidden="false" customHeight="false" outlineLevel="0" collapsed="false">
      <c r="B154" s="38" t="str">
        <f aca="false">IF(Transaksi!C153="","",Transaksi!C153)</f>
        <v/>
      </c>
      <c r="C154" s="39" t="str">
        <f aca="false">IF(Transaksi!C153="","",Transaksi!D153)</f>
        <v/>
      </c>
      <c r="D154" s="40" t="str">
        <f aca="false">IF(Transaksi!C153="","",Transaksi!H153)</f>
        <v/>
      </c>
      <c r="E154" s="39" t="str">
        <f aca="false">IF(Transaksi!C153="","",Transaksi!G153)</f>
        <v/>
      </c>
      <c r="F154" s="36" t="str">
        <f aca="false">IF(Transaksi!C153="","",Transaksi!J153)</f>
        <v/>
      </c>
      <c r="G154" s="36" t="str">
        <f aca="false">IF(Transaksi!C153="","",Transaksi!K153)</f>
        <v/>
      </c>
      <c r="H154" s="36" t="str">
        <f aca="false">IF($B154="","",Pengaturan!$C$10+SUMIFS(Transaksi!$J$6:$J153,Transaksi!$G$6:$G153,Pengaturan!$F$19)-SUMIFS(Transaksi!$K$6:$K153,Transaksi!$G$6:$G153,Pengaturan!$F$19))</f>
        <v/>
      </c>
      <c r="I154" s="36" t="str">
        <f aca="false">IF($B154="","",Pengaturan!$C$11+SUMIFS(Transaksi!$J$6:$J153,Transaksi!$G$6:$G153,Pengaturan!$F$20)-SUMIFS(Transaksi!$K$6:$K153,Transaksi!$G$6:$G153,Pengaturan!$F$20))</f>
        <v/>
      </c>
      <c r="J154" s="41" t="str">
        <f aca="false">IF($B154="","",H154+I154)</f>
        <v/>
      </c>
    </row>
    <row r="155" customFormat="false" ht="15" hidden="false" customHeight="false" outlineLevel="0" collapsed="false">
      <c r="B155" s="38" t="str">
        <f aca="false">IF(Transaksi!C154="","",Transaksi!C154)</f>
        <v/>
      </c>
      <c r="C155" s="39" t="str">
        <f aca="false">IF(Transaksi!C154="","",Transaksi!D154)</f>
        <v/>
      </c>
      <c r="D155" s="40" t="str">
        <f aca="false">IF(Transaksi!C154="","",Transaksi!H154)</f>
        <v/>
      </c>
      <c r="E155" s="39" t="str">
        <f aca="false">IF(Transaksi!C154="","",Transaksi!G154)</f>
        <v/>
      </c>
      <c r="F155" s="36" t="str">
        <f aca="false">IF(Transaksi!C154="","",Transaksi!J154)</f>
        <v/>
      </c>
      <c r="G155" s="36" t="str">
        <f aca="false">IF(Transaksi!C154="","",Transaksi!K154)</f>
        <v/>
      </c>
      <c r="H155" s="36" t="str">
        <f aca="false">IF($B155="","",Pengaturan!$C$10+SUMIFS(Transaksi!$J$6:$J154,Transaksi!$G$6:$G154,Pengaturan!$F$19)-SUMIFS(Transaksi!$K$6:$K154,Transaksi!$G$6:$G154,Pengaturan!$F$19))</f>
        <v/>
      </c>
      <c r="I155" s="36" t="str">
        <f aca="false">IF($B155="","",Pengaturan!$C$11+SUMIFS(Transaksi!$J$6:$J154,Transaksi!$G$6:$G154,Pengaturan!$F$20)-SUMIFS(Transaksi!$K$6:$K154,Transaksi!$G$6:$G154,Pengaturan!$F$20))</f>
        <v/>
      </c>
      <c r="J155" s="41" t="str">
        <f aca="false">IF($B155="","",H155+I155)</f>
        <v/>
      </c>
    </row>
    <row r="156" customFormat="false" ht="15" hidden="false" customHeight="false" outlineLevel="0" collapsed="false">
      <c r="B156" s="38" t="str">
        <f aca="false">IF(Transaksi!C155="","",Transaksi!C155)</f>
        <v/>
      </c>
      <c r="C156" s="39" t="str">
        <f aca="false">IF(Transaksi!C155="","",Transaksi!D155)</f>
        <v/>
      </c>
      <c r="D156" s="40" t="str">
        <f aca="false">IF(Transaksi!C155="","",Transaksi!H155)</f>
        <v/>
      </c>
      <c r="E156" s="39" t="str">
        <f aca="false">IF(Transaksi!C155="","",Transaksi!G155)</f>
        <v/>
      </c>
      <c r="F156" s="36" t="str">
        <f aca="false">IF(Transaksi!C155="","",Transaksi!J155)</f>
        <v/>
      </c>
      <c r="G156" s="36" t="str">
        <f aca="false">IF(Transaksi!C155="","",Transaksi!K155)</f>
        <v/>
      </c>
      <c r="H156" s="36" t="str">
        <f aca="false">IF($B156="","",Pengaturan!$C$10+SUMIFS(Transaksi!$J$6:$J155,Transaksi!$G$6:$G155,Pengaturan!$F$19)-SUMIFS(Transaksi!$K$6:$K155,Transaksi!$G$6:$G155,Pengaturan!$F$19))</f>
        <v/>
      </c>
      <c r="I156" s="36" t="str">
        <f aca="false">IF($B156="","",Pengaturan!$C$11+SUMIFS(Transaksi!$J$6:$J155,Transaksi!$G$6:$G155,Pengaturan!$F$20)-SUMIFS(Transaksi!$K$6:$K155,Transaksi!$G$6:$G155,Pengaturan!$F$20))</f>
        <v/>
      </c>
      <c r="J156" s="41" t="str">
        <f aca="false">IF($B156="","",H156+I156)</f>
        <v/>
      </c>
    </row>
    <row r="157" customFormat="false" ht="15" hidden="false" customHeight="false" outlineLevel="0" collapsed="false">
      <c r="B157" s="38" t="str">
        <f aca="false">IF(Transaksi!C156="","",Transaksi!C156)</f>
        <v/>
      </c>
      <c r="C157" s="39" t="str">
        <f aca="false">IF(Transaksi!C156="","",Transaksi!D156)</f>
        <v/>
      </c>
      <c r="D157" s="40" t="str">
        <f aca="false">IF(Transaksi!C156="","",Transaksi!H156)</f>
        <v/>
      </c>
      <c r="E157" s="39" t="str">
        <f aca="false">IF(Transaksi!C156="","",Transaksi!G156)</f>
        <v/>
      </c>
      <c r="F157" s="36" t="str">
        <f aca="false">IF(Transaksi!C156="","",Transaksi!J156)</f>
        <v/>
      </c>
      <c r="G157" s="36" t="str">
        <f aca="false">IF(Transaksi!C156="","",Transaksi!K156)</f>
        <v/>
      </c>
      <c r="H157" s="36" t="str">
        <f aca="false">IF($B157="","",Pengaturan!$C$10+SUMIFS(Transaksi!$J$6:$J156,Transaksi!$G$6:$G156,Pengaturan!$F$19)-SUMIFS(Transaksi!$K$6:$K156,Transaksi!$G$6:$G156,Pengaturan!$F$19))</f>
        <v/>
      </c>
      <c r="I157" s="36" t="str">
        <f aca="false">IF($B157="","",Pengaturan!$C$11+SUMIFS(Transaksi!$J$6:$J156,Transaksi!$G$6:$G156,Pengaturan!$F$20)-SUMIFS(Transaksi!$K$6:$K156,Transaksi!$G$6:$G156,Pengaturan!$F$20))</f>
        <v/>
      </c>
      <c r="J157" s="41" t="str">
        <f aca="false">IF($B157="","",H157+I157)</f>
        <v/>
      </c>
    </row>
    <row r="158" customFormat="false" ht="15" hidden="false" customHeight="false" outlineLevel="0" collapsed="false">
      <c r="B158" s="38" t="str">
        <f aca="false">IF(Transaksi!C157="","",Transaksi!C157)</f>
        <v/>
      </c>
      <c r="C158" s="39" t="str">
        <f aca="false">IF(Transaksi!C157="","",Transaksi!D157)</f>
        <v/>
      </c>
      <c r="D158" s="40" t="str">
        <f aca="false">IF(Transaksi!C157="","",Transaksi!H157)</f>
        <v/>
      </c>
      <c r="E158" s="39" t="str">
        <f aca="false">IF(Transaksi!C157="","",Transaksi!G157)</f>
        <v/>
      </c>
      <c r="F158" s="36" t="str">
        <f aca="false">IF(Transaksi!C157="","",Transaksi!J157)</f>
        <v/>
      </c>
      <c r="G158" s="36" t="str">
        <f aca="false">IF(Transaksi!C157="","",Transaksi!K157)</f>
        <v/>
      </c>
      <c r="H158" s="36" t="str">
        <f aca="false">IF($B158="","",Pengaturan!$C$10+SUMIFS(Transaksi!$J$6:$J157,Transaksi!$G$6:$G157,Pengaturan!$F$19)-SUMIFS(Transaksi!$K$6:$K157,Transaksi!$G$6:$G157,Pengaturan!$F$19))</f>
        <v/>
      </c>
      <c r="I158" s="36" t="str">
        <f aca="false">IF($B158="","",Pengaturan!$C$11+SUMIFS(Transaksi!$J$6:$J157,Transaksi!$G$6:$G157,Pengaturan!$F$20)-SUMIFS(Transaksi!$K$6:$K157,Transaksi!$G$6:$G157,Pengaturan!$F$20))</f>
        <v/>
      </c>
      <c r="J158" s="41" t="str">
        <f aca="false">IF($B158="","",H158+I158)</f>
        <v/>
      </c>
    </row>
    <row r="159" customFormat="false" ht="15" hidden="false" customHeight="false" outlineLevel="0" collapsed="false">
      <c r="B159" s="38" t="str">
        <f aca="false">IF(Transaksi!C158="","",Transaksi!C158)</f>
        <v/>
      </c>
      <c r="C159" s="39" t="str">
        <f aca="false">IF(Transaksi!C158="","",Transaksi!D158)</f>
        <v/>
      </c>
      <c r="D159" s="40" t="str">
        <f aca="false">IF(Transaksi!C158="","",Transaksi!H158)</f>
        <v/>
      </c>
      <c r="E159" s="39" t="str">
        <f aca="false">IF(Transaksi!C158="","",Transaksi!G158)</f>
        <v/>
      </c>
      <c r="F159" s="36" t="str">
        <f aca="false">IF(Transaksi!C158="","",Transaksi!J158)</f>
        <v/>
      </c>
      <c r="G159" s="36" t="str">
        <f aca="false">IF(Transaksi!C158="","",Transaksi!K158)</f>
        <v/>
      </c>
      <c r="H159" s="36" t="str">
        <f aca="false">IF($B159="","",Pengaturan!$C$10+SUMIFS(Transaksi!$J$6:$J158,Transaksi!$G$6:$G158,Pengaturan!$F$19)-SUMIFS(Transaksi!$K$6:$K158,Transaksi!$G$6:$G158,Pengaturan!$F$19))</f>
        <v/>
      </c>
      <c r="I159" s="36" t="str">
        <f aca="false">IF($B159="","",Pengaturan!$C$11+SUMIFS(Transaksi!$J$6:$J158,Transaksi!$G$6:$G158,Pengaturan!$F$20)-SUMIFS(Transaksi!$K$6:$K158,Transaksi!$G$6:$G158,Pengaturan!$F$20))</f>
        <v/>
      </c>
      <c r="J159" s="41" t="str">
        <f aca="false">IF($B159="","",H159+I159)</f>
        <v/>
      </c>
    </row>
    <row r="160" customFormat="false" ht="15" hidden="false" customHeight="false" outlineLevel="0" collapsed="false">
      <c r="B160" s="38" t="str">
        <f aca="false">IF(Transaksi!C159="","",Transaksi!C159)</f>
        <v/>
      </c>
      <c r="C160" s="39" t="str">
        <f aca="false">IF(Transaksi!C159="","",Transaksi!D159)</f>
        <v/>
      </c>
      <c r="D160" s="40" t="str">
        <f aca="false">IF(Transaksi!C159="","",Transaksi!H159)</f>
        <v/>
      </c>
      <c r="E160" s="39" t="str">
        <f aca="false">IF(Transaksi!C159="","",Transaksi!G159)</f>
        <v/>
      </c>
      <c r="F160" s="36" t="str">
        <f aca="false">IF(Transaksi!C159="","",Transaksi!J159)</f>
        <v/>
      </c>
      <c r="G160" s="36" t="str">
        <f aca="false">IF(Transaksi!C159="","",Transaksi!K159)</f>
        <v/>
      </c>
      <c r="H160" s="36" t="str">
        <f aca="false">IF($B160="","",Pengaturan!$C$10+SUMIFS(Transaksi!$J$6:$J159,Transaksi!$G$6:$G159,Pengaturan!$F$19)-SUMIFS(Transaksi!$K$6:$K159,Transaksi!$G$6:$G159,Pengaturan!$F$19))</f>
        <v/>
      </c>
      <c r="I160" s="36" t="str">
        <f aca="false">IF($B160="","",Pengaturan!$C$11+SUMIFS(Transaksi!$J$6:$J159,Transaksi!$G$6:$G159,Pengaturan!$F$20)-SUMIFS(Transaksi!$K$6:$K159,Transaksi!$G$6:$G159,Pengaturan!$F$20))</f>
        <v/>
      </c>
      <c r="J160" s="41" t="str">
        <f aca="false">IF($B160="","",H160+I160)</f>
        <v/>
      </c>
    </row>
    <row r="161" customFormat="false" ht="15" hidden="false" customHeight="false" outlineLevel="0" collapsed="false">
      <c r="B161" s="38" t="str">
        <f aca="false">IF(Transaksi!C160="","",Transaksi!C160)</f>
        <v/>
      </c>
      <c r="C161" s="39" t="str">
        <f aca="false">IF(Transaksi!C160="","",Transaksi!D160)</f>
        <v/>
      </c>
      <c r="D161" s="40" t="str">
        <f aca="false">IF(Transaksi!C160="","",Transaksi!H160)</f>
        <v/>
      </c>
      <c r="E161" s="39" t="str">
        <f aca="false">IF(Transaksi!C160="","",Transaksi!G160)</f>
        <v/>
      </c>
      <c r="F161" s="36" t="str">
        <f aca="false">IF(Transaksi!C160="","",Transaksi!J160)</f>
        <v/>
      </c>
      <c r="G161" s="36" t="str">
        <f aca="false">IF(Transaksi!C160="","",Transaksi!K160)</f>
        <v/>
      </c>
      <c r="H161" s="36" t="str">
        <f aca="false">IF($B161="","",Pengaturan!$C$10+SUMIFS(Transaksi!$J$6:$J160,Transaksi!$G$6:$G160,Pengaturan!$F$19)-SUMIFS(Transaksi!$K$6:$K160,Transaksi!$G$6:$G160,Pengaturan!$F$19))</f>
        <v/>
      </c>
      <c r="I161" s="36" t="str">
        <f aca="false">IF($B161="","",Pengaturan!$C$11+SUMIFS(Transaksi!$J$6:$J160,Transaksi!$G$6:$G160,Pengaturan!$F$20)-SUMIFS(Transaksi!$K$6:$K160,Transaksi!$G$6:$G160,Pengaturan!$F$20))</f>
        <v/>
      </c>
      <c r="J161" s="41" t="str">
        <f aca="false">IF($B161="","",H161+I161)</f>
        <v/>
      </c>
    </row>
    <row r="162" customFormat="false" ht="15" hidden="false" customHeight="false" outlineLevel="0" collapsed="false">
      <c r="B162" s="38" t="str">
        <f aca="false">IF(Transaksi!C161="","",Transaksi!C161)</f>
        <v/>
      </c>
      <c r="C162" s="39" t="str">
        <f aca="false">IF(Transaksi!C161="","",Transaksi!D161)</f>
        <v/>
      </c>
      <c r="D162" s="40" t="str">
        <f aca="false">IF(Transaksi!C161="","",Transaksi!H161)</f>
        <v/>
      </c>
      <c r="E162" s="39" t="str">
        <f aca="false">IF(Transaksi!C161="","",Transaksi!G161)</f>
        <v/>
      </c>
      <c r="F162" s="36" t="str">
        <f aca="false">IF(Transaksi!C161="","",Transaksi!J161)</f>
        <v/>
      </c>
      <c r="G162" s="36" t="str">
        <f aca="false">IF(Transaksi!C161="","",Transaksi!K161)</f>
        <v/>
      </c>
      <c r="H162" s="36" t="str">
        <f aca="false">IF($B162="","",Pengaturan!$C$10+SUMIFS(Transaksi!$J$6:$J161,Transaksi!$G$6:$G161,Pengaturan!$F$19)-SUMIFS(Transaksi!$K$6:$K161,Transaksi!$G$6:$G161,Pengaturan!$F$19))</f>
        <v/>
      </c>
      <c r="I162" s="36" t="str">
        <f aca="false">IF($B162="","",Pengaturan!$C$11+SUMIFS(Transaksi!$J$6:$J161,Transaksi!$G$6:$G161,Pengaturan!$F$20)-SUMIFS(Transaksi!$K$6:$K161,Transaksi!$G$6:$G161,Pengaturan!$F$20))</f>
        <v/>
      </c>
      <c r="J162" s="41" t="str">
        <f aca="false">IF($B162="","",H162+I162)</f>
        <v/>
      </c>
    </row>
    <row r="163" customFormat="false" ht="15" hidden="false" customHeight="false" outlineLevel="0" collapsed="false">
      <c r="B163" s="38" t="str">
        <f aca="false">IF(Transaksi!C162="","",Transaksi!C162)</f>
        <v/>
      </c>
      <c r="C163" s="39" t="str">
        <f aca="false">IF(Transaksi!C162="","",Transaksi!D162)</f>
        <v/>
      </c>
      <c r="D163" s="40" t="str">
        <f aca="false">IF(Transaksi!C162="","",Transaksi!H162)</f>
        <v/>
      </c>
      <c r="E163" s="39" t="str">
        <f aca="false">IF(Transaksi!C162="","",Transaksi!G162)</f>
        <v/>
      </c>
      <c r="F163" s="36" t="str">
        <f aca="false">IF(Transaksi!C162="","",Transaksi!J162)</f>
        <v/>
      </c>
      <c r="G163" s="36" t="str">
        <f aca="false">IF(Transaksi!C162="","",Transaksi!K162)</f>
        <v/>
      </c>
      <c r="H163" s="36" t="str">
        <f aca="false">IF($B163="","",Pengaturan!$C$10+SUMIFS(Transaksi!$J$6:$J162,Transaksi!$G$6:$G162,Pengaturan!$F$19)-SUMIFS(Transaksi!$K$6:$K162,Transaksi!$G$6:$G162,Pengaturan!$F$19))</f>
        <v/>
      </c>
      <c r="I163" s="36" t="str">
        <f aca="false">IF($B163="","",Pengaturan!$C$11+SUMIFS(Transaksi!$J$6:$J162,Transaksi!$G$6:$G162,Pengaturan!$F$20)-SUMIFS(Transaksi!$K$6:$K162,Transaksi!$G$6:$G162,Pengaturan!$F$20))</f>
        <v/>
      </c>
      <c r="J163" s="41" t="str">
        <f aca="false">IF($B163="","",H163+I163)</f>
        <v/>
      </c>
    </row>
    <row r="164" customFormat="false" ht="15" hidden="false" customHeight="false" outlineLevel="0" collapsed="false">
      <c r="B164" s="38" t="str">
        <f aca="false">IF(Transaksi!C163="","",Transaksi!C163)</f>
        <v/>
      </c>
      <c r="C164" s="39" t="str">
        <f aca="false">IF(Transaksi!C163="","",Transaksi!D163)</f>
        <v/>
      </c>
      <c r="D164" s="40" t="str">
        <f aca="false">IF(Transaksi!C163="","",Transaksi!H163)</f>
        <v/>
      </c>
      <c r="E164" s="39" t="str">
        <f aca="false">IF(Transaksi!C163="","",Transaksi!G163)</f>
        <v/>
      </c>
      <c r="F164" s="36" t="str">
        <f aca="false">IF(Transaksi!C163="","",Transaksi!J163)</f>
        <v/>
      </c>
      <c r="G164" s="36" t="str">
        <f aca="false">IF(Transaksi!C163="","",Transaksi!K163)</f>
        <v/>
      </c>
      <c r="H164" s="36" t="str">
        <f aca="false">IF($B164="","",Pengaturan!$C$10+SUMIFS(Transaksi!$J$6:$J163,Transaksi!$G$6:$G163,Pengaturan!$F$19)-SUMIFS(Transaksi!$K$6:$K163,Transaksi!$G$6:$G163,Pengaturan!$F$19))</f>
        <v/>
      </c>
      <c r="I164" s="36" t="str">
        <f aca="false">IF($B164="","",Pengaturan!$C$11+SUMIFS(Transaksi!$J$6:$J163,Transaksi!$G$6:$G163,Pengaturan!$F$20)-SUMIFS(Transaksi!$K$6:$K163,Transaksi!$G$6:$G163,Pengaturan!$F$20))</f>
        <v/>
      </c>
      <c r="J164" s="41" t="str">
        <f aca="false">IF($B164="","",H164+I164)</f>
        <v/>
      </c>
    </row>
    <row r="165" customFormat="false" ht="15" hidden="false" customHeight="false" outlineLevel="0" collapsed="false">
      <c r="B165" s="38" t="str">
        <f aca="false">IF(Transaksi!C164="","",Transaksi!C164)</f>
        <v/>
      </c>
      <c r="C165" s="39" t="str">
        <f aca="false">IF(Transaksi!C164="","",Transaksi!D164)</f>
        <v/>
      </c>
      <c r="D165" s="40" t="str">
        <f aca="false">IF(Transaksi!C164="","",Transaksi!H164)</f>
        <v/>
      </c>
      <c r="E165" s="39" t="str">
        <f aca="false">IF(Transaksi!C164="","",Transaksi!G164)</f>
        <v/>
      </c>
      <c r="F165" s="36" t="str">
        <f aca="false">IF(Transaksi!C164="","",Transaksi!J164)</f>
        <v/>
      </c>
      <c r="G165" s="36" t="str">
        <f aca="false">IF(Transaksi!C164="","",Transaksi!K164)</f>
        <v/>
      </c>
      <c r="H165" s="36" t="str">
        <f aca="false">IF($B165="","",Pengaturan!$C$10+SUMIFS(Transaksi!$J$6:$J164,Transaksi!$G$6:$G164,Pengaturan!$F$19)-SUMIFS(Transaksi!$K$6:$K164,Transaksi!$G$6:$G164,Pengaturan!$F$19))</f>
        <v/>
      </c>
      <c r="I165" s="36" t="str">
        <f aca="false">IF($B165="","",Pengaturan!$C$11+SUMIFS(Transaksi!$J$6:$J164,Transaksi!$G$6:$G164,Pengaturan!$F$20)-SUMIFS(Transaksi!$K$6:$K164,Transaksi!$G$6:$G164,Pengaturan!$F$20))</f>
        <v/>
      </c>
      <c r="J165" s="41" t="str">
        <f aca="false">IF($B165="","",H165+I165)</f>
        <v/>
      </c>
    </row>
    <row r="166" customFormat="false" ht="15" hidden="false" customHeight="false" outlineLevel="0" collapsed="false">
      <c r="B166" s="38" t="str">
        <f aca="false">IF(Transaksi!C165="","",Transaksi!C165)</f>
        <v/>
      </c>
      <c r="C166" s="39" t="str">
        <f aca="false">IF(Transaksi!C165="","",Transaksi!D165)</f>
        <v/>
      </c>
      <c r="D166" s="40" t="str">
        <f aca="false">IF(Transaksi!C165="","",Transaksi!H165)</f>
        <v/>
      </c>
      <c r="E166" s="39" t="str">
        <f aca="false">IF(Transaksi!C165="","",Transaksi!G165)</f>
        <v/>
      </c>
      <c r="F166" s="36" t="str">
        <f aca="false">IF(Transaksi!C165="","",Transaksi!J165)</f>
        <v/>
      </c>
      <c r="G166" s="36" t="str">
        <f aca="false">IF(Transaksi!C165="","",Transaksi!K165)</f>
        <v/>
      </c>
      <c r="H166" s="36" t="str">
        <f aca="false">IF($B166="","",Pengaturan!$C$10+SUMIFS(Transaksi!$J$6:$J165,Transaksi!$G$6:$G165,Pengaturan!$F$19)-SUMIFS(Transaksi!$K$6:$K165,Transaksi!$G$6:$G165,Pengaturan!$F$19))</f>
        <v/>
      </c>
      <c r="I166" s="36" t="str">
        <f aca="false">IF($B166="","",Pengaturan!$C$11+SUMIFS(Transaksi!$J$6:$J165,Transaksi!$G$6:$G165,Pengaturan!$F$20)-SUMIFS(Transaksi!$K$6:$K165,Transaksi!$G$6:$G165,Pengaturan!$F$20))</f>
        <v/>
      </c>
      <c r="J166" s="41" t="str">
        <f aca="false">IF($B166="","",H166+I166)</f>
        <v/>
      </c>
    </row>
    <row r="167" customFormat="false" ht="15" hidden="false" customHeight="false" outlineLevel="0" collapsed="false">
      <c r="B167" s="38" t="str">
        <f aca="false">IF(Transaksi!C166="","",Transaksi!C166)</f>
        <v/>
      </c>
      <c r="C167" s="39" t="str">
        <f aca="false">IF(Transaksi!C166="","",Transaksi!D166)</f>
        <v/>
      </c>
      <c r="D167" s="40" t="str">
        <f aca="false">IF(Transaksi!C166="","",Transaksi!H166)</f>
        <v/>
      </c>
      <c r="E167" s="39" t="str">
        <f aca="false">IF(Transaksi!C166="","",Transaksi!G166)</f>
        <v/>
      </c>
      <c r="F167" s="36" t="str">
        <f aca="false">IF(Transaksi!C166="","",Transaksi!J166)</f>
        <v/>
      </c>
      <c r="G167" s="36" t="str">
        <f aca="false">IF(Transaksi!C166="","",Transaksi!K166)</f>
        <v/>
      </c>
      <c r="H167" s="36" t="str">
        <f aca="false">IF($B167="","",Pengaturan!$C$10+SUMIFS(Transaksi!$J$6:$J166,Transaksi!$G$6:$G166,Pengaturan!$F$19)-SUMIFS(Transaksi!$K$6:$K166,Transaksi!$G$6:$G166,Pengaturan!$F$19))</f>
        <v/>
      </c>
      <c r="I167" s="36" t="str">
        <f aca="false">IF($B167="","",Pengaturan!$C$11+SUMIFS(Transaksi!$J$6:$J166,Transaksi!$G$6:$G166,Pengaturan!$F$20)-SUMIFS(Transaksi!$K$6:$K166,Transaksi!$G$6:$G166,Pengaturan!$F$20))</f>
        <v/>
      </c>
      <c r="J167" s="41" t="str">
        <f aca="false">IF($B167="","",H167+I167)</f>
        <v/>
      </c>
    </row>
    <row r="168" customFormat="false" ht="15" hidden="false" customHeight="false" outlineLevel="0" collapsed="false">
      <c r="B168" s="38" t="str">
        <f aca="false">IF(Transaksi!C167="","",Transaksi!C167)</f>
        <v/>
      </c>
      <c r="C168" s="39" t="str">
        <f aca="false">IF(Transaksi!C167="","",Transaksi!D167)</f>
        <v/>
      </c>
      <c r="D168" s="40" t="str">
        <f aca="false">IF(Transaksi!C167="","",Transaksi!H167)</f>
        <v/>
      </c>
      <c r="E168" s="39" t="str">
        <f aca="false">IF(Transaksi!C167="","",Transaksi!G167)</f>
        <v/>
      </c>
      <c r="F168" s="36" t="str">
        <f aca="false">IF(Transaksi!C167="","",Transaksi!J167)</f>
        <v/>
      </c>
      <c r="G168" s="36" t="str">
        <f aca="false">IF(Transaksi!C167="","",Transaksi!K167)</f>
        <v/>
      </c>
      <c r="H168" s="36" t="str">
        <f aca="false">IF($B168="","",Pengaturan!$C$10+SUMIFS(Transaksi!$J$6:$J167,Transaksi!$G$6:$G167,Pengaturan!$F$19)-SUMIFS(Transaksi!$K$6:$K167,Transaksi!$G$6:$G167,Pengaturan!$F$19))</f>
        <v/>
      </c>
      <c r="I168" s="36" t="str">
        <f aca="false">IF($B168="","",Pengaturan!$C$11+SUMIFS(Transaksi!$J$6:$J167,Transaksi!$G$6:$G167,Pengaturan!$F$20)-SUMIFS(Transaksi!$K$6:$K167,Transaksi!$G$6:$G167,Pengaturan!$F$20))</f>
        <v/>
      </c>
      <c r="J168" s="41" t="str">
        <f aca="false">IF($B168="","",H168+I168)</f>
        <v/>
      </c>
    </row>
    <row r="169" customFormat="false" ht="15" hidden="false" customHeight="false" outlineLevel="0" collapsed="false">
      <c r="B169" s="38" t="str">
        <f aca="false">IF(Transaksi!C168="","",Transaksi!C168)</f>
        <v/>
      </c>
      <c r="C169" s="39" t="str">
        <f aca="false">IF(Transaksi!C168="","",Transaksi!D168)</f>
        <v/>
      </c>
      <c r="D169" s="40" t="str">
        <f aca="false">IF(Transaksi!C168="","",Transaksi!H168)</f>
        <v/>
      </c>
      <c r="E169" s="39" t="str">
        <f aca="false">IF(Transaksi!C168="","",Transaksi!G168)</f>
        <v/>
      </c>
      <c r="F169" s="36" t="str">
        <f aca="false">IF(Transaksi!C168="","",Transaksi!J168)</f>
        <v/>
      </c>
      <c r="G169" s="36" t="str">
        <f aca="false">IF(Transaksi!C168="","",Transaksi!K168)</f>
        <v/>
      </c>
      <c r="H169" s="36" t="str">
        <f aca="false">IF($B169="","",Pengaturan!$C$10+SUMIFS(Transaksi!$J$6:$J168,Transaksi!$G$6:$G168,Pengaturan!$F$19)-SUMIFS(Transaksi!$K$6:$K168,Transaksi!$G$6:$G168,Pengaturan!$F$19))</f>
        <v/>
      </c>
      <c r="I169" s="36" t="str">
        <f aca="false">IF($B169="","",Pengaturan!$C$11+SUMIFS(Transaksi!$J$6:$J168,Transaksi!$G$6:$G168,Pengaturan!$F$20)-SUMIFS(Transaksi!$K$6:$K168,Transaksi!$G$6:$G168,Pengaturan!$F$20))</f>
        <v/>
      </c>
      <c r="J169" s="41" t="str">
        <f aca="false">IF($B169="","",H169+I169)</f>
        <v/>
      </c>
    </row>
    <row r="170" customFormat="false" ht="15" hidden="false" customHeight="false" outlineLevel="0" collapsed="false">
      <c r="B170" s="38" t="str">
        <f aca="false">IF(Transaksi!C169="","",Transaksi!C169)</f>
        <v/>
      </c>
      <c r="C170" s="39" t="str">
        <f aca="false">IF(Transaksi!C169="","",Transaksi!D169)</f>
        <v/>
      </c>
      <c r="D170" s="40" t="str">
        <f aca="false">IF(Transaksi!C169="","",Transaksi!H169)</f>
        <v/>
      </c>
      <c r="E170" s="39" t="str">
        <f aca="false">IF(Transaksi!C169="","",Transaksi!G169)</f>
        <v/>
      </c>
      <c r="F170" s="36" t="str">
        <f aca="false">IF(Transaksi!C169="","",Transaksi!J169)</f>
        <v/>
      </c>
      <c r="G170" s="36" t="str">
        <f aca="false">IF(Transaksi!C169="","",Transaksi!K169)</f>
        <v/>
      </c>
      <c r="H170" s="36" t="str">
        <f aca="false">IF($B170="","",Pengaturan!$C$10+SUMIFS(Transaksi!$J$6:$J169,Transaksi!$G$6:$G169,Pengaturan!$F$19)-SUMIFS(Transaksi!$K$6:$K169,Transaksi!$G$6:$G169,Pengaturan!$F$19))</f>
        <v/>
      </c>
      <c r="I170" s="36" t="str">
        <f aca="false">IF($B170="","",Pengaturan!$C$11+SUMIFS(Transaksi!$J$6:$J169,Transaksi!$G$6:$G169,Pengaturan!$F$20)-SUMIFS(Transaksi!$K$6:$K169,Transaksi!$G$6:$G169,Pengaturan!$F$20))</f>
        <v/>
      </c>
      <c r="J170" s="41" t="str">
        <f aca="false">IF($B170="","",H170+I170)</f>
        <v/>
      </c>
    </row>
    <row r="171" customFormat="false" ht="15" hidden="false" customHeight="false" outlineLevel="0" collapsed="false">
      <c r="B171" s="38" t="str">
        <f aca="false">IF(Transaksi!C170="","",Transaksi!C170)</f>
        <v/>
      </c>
      <c r="C171" s="39" t="str">
        <f aca="false">IF(Transaksi!C170="","",Transaksi!D170)</f>
        <v/>
      </c>
      <c r="D171" s="40" t="str">
        <f aca="false">IF(Transaksi!C170="","",Transaksi!H170)</f>
        <v/>
      </c>
      <c r="E171" s="39" t="str">
        <f aca="false">IF(Transaksi!C170="","",Transaksi!G170)</f>
        <v/>
      </c>
      <c r="F171" s="36" t="str">
        <f aca="false">IF(Transaksi!C170="","",Transaksi!J170)</f>
        <v/>
      </c>
      <c r="G171" s="36" t="str">
        <f aca="false">IF(Transaksi!C170="","",Transaksi!K170)</f>
        <v/>
      </c>
      <c r="H171" s="36" t="str">
        <f aca="false">IF($B171="","",Pengaturan!$C$10+SUMIFS(Transaksi!$J$6:$J170,Transaksi!$G$6:$G170,Pengaturan!$F$19)-SUMIFS(Transaksi!$K$6:$K170,Transaksi!$G$6:$G170,Pengaturan!$F$19))</f>
        <v/>
      </c>
      <c r="I171" s="36" t="str">
        <f aca="false">IF($B171="","",Pengaturan!$C$11+SUMIFS(Transaksi!$J$6:$J170,Transaksi!$G$6:$G170,Pengaturan!$F$20)-SUMIFS(Transaksi!$K$6:$K170,Transaksi!$G$6:$G170,Pengaturan!$F$20))</f>
        <v/>
      </c>
      <c r="J171" s="41" t="str">
        <f aca="false">IF($B171="","",H171+I171)</f>
        <v/>
      </c>
    </row>
    <row r="172" customFormat="false" ht="15" hidden="false" customHeight="false" outlineLevel="0" collapsed="false">
      <c r="B172" s="38" t="str">
        <f aca="false">IF(Transaksi!C171="","",Transaksi!C171)</f>
        <v/>
      </c>
      <c r="C172" s="39" t="str">
        <f aca="false">IF(Transaksi!C171="","",Transaksi!D171)</f>
        <v/>
      </c>
      <c r="D172" s="40" t="str">
        <f aca="false">IF(Transaksi!C171="","",Transaksi!H171)</f>
        <v/>
      </c>
      <c r="E172" s="39" t="str">
        <f aca="false">IF(Transaksi!C171="","",Transaksi!G171)</f>
        <v/>
      </c>
      <c r="F172" s="36" t="str">
        <f aca="false">IF(Transaksi!C171="","",Transaksi!J171)</f>
        <v/>
      </c>
      <c r="G172" s="36" t="str">
        <f aca="false">IF(Transaksi!C171="","",Transaksi!K171)</f>
        <v/>
      </c>
      <c r="H172" s="36" t="str">
        <f aca="false">IF($B172="","",Pengaturan!$C$10+SUMIFS(Transaksi!$J$6:$J171,Transaksi!$G$6:$G171,Pengaturan!$F$19)-SUMIFS(Transaksi!$K$6:$K171,Transaksi!$G$6:$G171,Pengaturan!$F$19))</f>
        <v/>
      </c>
      <c r="I172" s="36" t="str">
        <f aca="false">IF($B172="","",Pengaturan!$C$11+SUMIFS(Transaksi!$J$6:$J171,Transaksi!$G$6:$G171,Pengaturan!$F$20)-SUMIFS(Transaksi!$K$6:$K171,Transaksi!$G$6:$G171,Pengaturan!$F$20))</f>
        <v/>
      </c>
      <c r="J172" s="41" t="str">
        <f aca="false">IF($B172="","",H172+I172)</f>
        <v/>
      </c>
    </row>
    <row r="173" customFormat="false" ht="15" hidden="false" customHeight="false" outlineLevel="0" collapsed="false">
      <c r="B173" s="38" t="str">
        <f aca="false">IF(Transaksi!C172="","",Transaksi!C172)</f>
        <v/>
      </c>
      <c r="C173" s="39" t="str">
        <f aca="false">IF(Transaksi!C172="","",Transaksi!D172)</f>
        <v/>
      </c>
      <c r="D173" s="40" t="str">
        <f aca="false">IF(Transaksi!C172="","",Transaksi!H172)</f>
        <v/>
      </c>
      <c r="E173" s="39" t="str">
        <f aca="false">IF(Transaksi!C172="","",Transaksi!G172)</f>
        <v/>
      </c>
      <c r="F173" s="36" t="str">
        <f aca="false">IF(Transaksi!C172="","",Transaksi!J172)</f>
        <v/>
      </c>
      <c r="G173" s="36" t="str">
        <f aca="false">IF(Transaksi!C172="","",Transaksi!K172)</f>
        <v/>
      </c>
      <c r="H173" s="36" t="str">
        <f aca="false">IF($B173="","",Pengaturan!$C$10+SUMIFS(Transaksi!$J$6:$J172,Transaksi!$G$6:$G172,Pengaturan!$F$19)-SUMIFS(Transaksi!$K$6:$K172,Transaksi!$G$6:$G172,Pengaturan!$F$19))</f>
        <v/>
      </c>
      <c r="I173" s="36" t="str">
        <f aca="false">IF($B173="","",Pengaturan!$C$11+SUMIFS(Transaksi!$J$6:$J172,Transaksi!$G$6:$G172,Pengaturan!$F$20)-SUMIFS(Transaksi!$K$6:$K172,Transaksi!$G$6:$G172,Pengaturan!$F$20))</f>
        <v/>
      </c>
      <c r="J173" s="41" t="str">
        <f aca="false">IF($B173="","",H173+I173)</f>
        <v/>
      </c>
    </row>
    <row r="174" customFormat="false" ht="15" hidden="false" customHeight="false" outlineLevel="0" collapsed="false">
      <c r="B174" s="38" t="str">
        <f aca="false">IF(Transaksi!C173="","",Transaksi!C173)</f>
        <v/>
      </c>
      <c r="C174" s="39" t="str">
        <f aca="false">IF(Transaksi!C173="","",Transaksi!D173)</f>
        <v/>
      </c>
      <c r="D174" s="40" t="str">
        <f aca="false">IF(Transaksi!C173="","",Transaksi!H173)</f>
        <v/>
      </c>
      <c r="E174" s="39" t="str">
        <f aca="false">IF(Transaksi!C173="","",Transaksi!G173)</f>
        <v/>
      </c>
      <c r="F174" s="36" t="str">
        <f aca="false">IF(Transaksi!C173="","",Transaksi!J173)</f>
        <v/>
      </c>
      <c r="G174" s="36" t="str">
        <f aca="false">IF(Transaksi!C173="","",Transaksi!K173)</f>
        <v/>
      </c>
      <c r="H174" s="36" t="str">
        <f aca="false">IF($B174="","",Pengaturan!$C$10+SUMIFS(Transaksi!$J$6:$J173,Transaksi!$G$6:$G173,Pengaturan!$F$19)-SUMIFS(Transaksi!$K$6:$K173,Transaksi!$G$6:$G173,Pengaturan!$F$19))</f>
        <v/>
      </c>
      <c r="I174" s="36" t="str">
        <f aca="false">IF($B174="","",Pengaturan!$C$11+SUMIFS(Transaksi!$J$6:$J173,Transaksi!$G$6:$G173,Pengaturan!$F$20)-SUMIFS(Transaksi!$K$6:$K173,Transaksi!$G$6:$G173,Pengaturan!$F$20))</f>
        <v/>
      </c>
      <c r="J174" s="41" t="str">
        <f aca="false">IF($B174="","",H174+I174)</f>
        <v/>
      </c>
    </row>
    <row r="175" customFormat="false" ht="15" hidden="false" customHeight="false" outlineLevel="0" collapsed="false">
      <c r="B175" s="38" t="str">
        <f aca="false">IF(Transaksi!C174="","",Transaksi!C174)</f>
        <v/>
      </c>
      <c r="C175" s="39" t="str">
        <f aca="false">IF(Transaksi!C174="","",Transaksi!D174)</f>
        <v/>
      </c>
      <c r="D175" s="40" t="str">
        <f aca="false">IF(Transaksi!C174="","",Transaksi!H174)</f>
        <v/>
      </c>
      <c r="E175" s="39" t="str">
        <f aca="false">IF(Transaksi!C174="","",Transaksi!G174)</f>
        <v/>
      </c>
      <c r="F175" s="36" t="str">
        <f aca="false">IF(Transaksi!C174="","",Transaksi!J174)</f>
        <v/>
      </c>
      <c r="G175" s="36" t="str">
        <f aca="false">IF(Transaksi!C174="","",Transaksi!K174)</f>
        <v/>
      </c>
      <c r="H175" s="36" t="str">
        <f aca="false">IF($B175="","",Pengaturan!$C$10+SUMIFS(Transaksi!$J$6:$J174,Transaksi!$G$6:$G174,Pengaturan!$F$19)-SUMIFS(Transaksi!$K$6:$K174,Transaksi!$G$6:$G174,Pengaturan!$F$19))</f>
        <v/>
      </c>
      <c r="I175" s="36" t="str">
        <f aca="false">IF($B175="","",Pengaturan!$C$11+SUMIFS(Transaksi!$J$6:$J174,Transaksi!$G$6:$G174,Pengaturan!$F$20)-SUMIFS(Transaksi!$K$6:$K174,Transaksi!$G$6:$G174,Pengaturan!$F$20))</f>
        <v/>
      </c>
      <c r="J175" s="41" t="str">
        <f aca="false">IF($B175="","",H175+I175)</f>
        <v/>
      </c>
    </row>
    <row r="176" customFormat="false" ht="15" hidden="false" customHeight="false" outlineLevel="0" collapsed="false">
      <c r="B176" s="38" t="str">
        <f aca="false">IF(Transaksi!C175="","",Transaksi!C175)</f>
        <v/>
      </c>
      <c r="C176" s="39" t="str">
        <f aca="false">IF(Transaksi!C175="","",Transaksi!D175)</f>
        <v/>
      </c>
      <c r="D176" s="40" t="str">
        <f aca="false">IF(Transaksi!C175="","",Transaksi!H175)</f>
        <v/>
      </c>
      <c r="E176" s="39" t="str">
        <f aca="false">IF(Transaksi!C175="","",Transaksi!G175)</f>
        <v/>
      </c>
      <c r="F176" s="36" t="str">
        <f aca="false">IF(Transaksi!C175="","",Transaksi!J175)</f>
        <v/>
      </c>
      <c r="G176" s="36" t="str">
        <f aca="false">IF(Transaksi!C175="","",Transaksi!K175)</f>
        <v/>
      </c>
      <c r="H176" s="36" t="str">
        <f aca="false">IF($B176="","",Pengaturan!$C$10+SUMIFS(Transaksi!$J$6:$J175,Transaksi!$G$6:$G175,Pengaturan!$F$19)-SUMIFS(Transaksi!$K$6:$K175,Transaksi!$G$6:$G175,Pengaturan!$F$19))</f>
        <v/>
      </c>
      <c r="I176" s="36" t="str">
        <f aca="false">IF($B176="","",Pengaturan!$C$11+SUMIFS(Transaksi!$J$6:$J175,Transaksi!$G$6:$G175,Pengaturan!$F$20)-SUMIFS(Transaksi!$K$6:$K175,Transaksi!$G$6:$G175,Pengaturan!$F$20))</f>
        <v/>
      </c>
      <c r="J176" s="41" t="str">
        <f aca="false">IF($B176="","",H176+I176)</f>
        <v/>
      </c>
    </row>
    <row r="177" customFormat="false" ht="15" hidden="false" customHeight="false" outlineLevel="0" collapsed="false">
      <c r="B177" s="38" t="str">
        <f aca="false">IF(Transaksi!C176="","",Transaksi!C176)</f>
        <v/>
      </c>
      <c r="C177" s="39" t="str">
        <f aca="false">IF(Transaksi!C176="","",Transaksi!D176)</f>
        <v/>
      </c>
      <c r="D177" s="40" t="str">
        <f aca="false">IF(Transaksi!C176="","",Transaksi!H176)</f>
        <v/>
      </c>
      <c r="E177" s="39" t="str">
        <f aca="false">IF(Transaksi!C176="","",Transaksi!G176)</f>
        <v/>
      </c>
      <c r="F177" s="36" t="str">
        <f aca="false">IF(Transaksi!C176="","",Transaksi!J176)</f>
        <v/>
      </c>
      <c r="G177" s="36" t="str">
        <f aca="false">IF(Transaksi!C176="","",Transaksi!K176)</f>
        <v/>
      </c>
      <c r="H177" s="36" t="str">
        <f aca="false">IF($B177="","",Pengaturan!$C$10+SUMIFS(Transaksi!$J$6:$J176,Transaksi!$G$6:$G176,Pengaturan!$F$19)-SUMIFS(Transaksi!$K$6:$K176,Transaksi!$G$6:$G176,Pengaturan!$F$19))</f>
        <v/>
      </c>
      <c r="I177" s="36" t="str">
        <f aca="false">IF($B177="","",Pengaturan!$C$11+SUMIFS(Transaksi!$J$6:$J176,Transaksi!$G$6:$G176,Pengaturan!$F$20)-SUMIFS(Transaksi!$K$6:$K176,Transaksi!$G$6:$G176,Pengaturan!$F$20))</f>
        <v/>
      </c>
      <c r="J177" s="41" t="str">
        <f aca="false">IF($B177="","",H177+I177)</f>
        <v/>
      </c>
    </row>
    <row r="178" customFormat="false" ht="15" hidden="false" customHeight="false" outlineLevel="0" collapsed="false">
      <c r="B178" s="38" t="str">
        <f aca="false">IF(Transaksi!C177="","",Transaksi!C177)</f>
        <v/>
      </c>
      <c r="C178" s="39" t="str">
        <f aca="false">IF(Transaksi!C177="","",Transaksi!D177)</f>
        <v/>
      </c>
      <c r="D178" s="40" t="str">
        <f aca="false">IF(Transaksi!C177="","",Transaksi!H177)</f>
        <v/>
      </c>
      <c r="E178" s="39" t="str">
        <f aca="false">IF(Transaksi!C177="","",Transaksi!G177)</f>
        <v/>
      </c>
      <c r="F178" s="36" t="str">
        <f aca="false">IF(Transaksi!C177="","",Transaksi!J177)</f>
        <v/>
      </c>
      <c r="G178" s="36" t="str">
        <f aca="false">IF(Transaksi!C177="","",Transaksi!K177)</f>
        <v/>
      </c>
      <c r="H178" s="36" t="str">
        <f aca="false">IF($B178="","",Pengaturan!$C$10+SUMIFS(Transaksi!$J$6:$J177,Transaksi!$G$6:$G177,Pengaturan!$F$19)-SUMIFS(Transaksi!$K$6:$K177,Transaksi!$G$6:$G177,Pengaturan!$F$19))</f>
        <v/>
      </c>
      <c r="I178" s="36" t="str">
        <f aca="false">IF($B178="","",Pengaturan!$C$11+SUMIFS(Transaksi!$J$6:$J177,Transaksi!$G$6:$G177,Pengaturan!$F$20)-SUMIFS(Transaksi!$K$6:$K177,Transaksi!$G$6:$G177,Pengaturan!$F$20))</f>
        <v/>
      </c>
      <c r="J178" s="41" t="str">
        <f aca="false">IF($B178="","",H178+I178)</f>
        <v/>
      </c>
    </row>
    <row r="179" customFormat="false" ht="15" hidden="false" customHeight="false" outlineLevel="0" collapsed="false">
      <c r="B179" s="38" t="str">
        <f aca="false">IF(Transaksi!C178="","",Transaksi!C178)</f>
        <v/>
      </c>
      <c r="C179" s="39" t="str">
        <f aca="false">IF(Transaksi!C178="","",Transaksi!D178)</f>
        <v/>
      </c>
      <c r="D179" s="40" t="str">
        <f aca="false">IF(Transaksi!C178="","",Transaksi!H178)</f>
        <v/>
      </c>
      <c r="E179" s="39" t="str">
        <f aca="false">IF(Transaksi!C178="","",Transaksi!G178)</f>
        <v/>
      </c>
      <c r="F179" s="36" t="str">
        <f aca="false">IF(Transaksi!C178="","",Transaksi!J178)</f>
        <v/>
      </c>
      <c r="G179" s="36" t="str">
        <f aca="false">IF(Transaksi!C178="","",Transaksi!K178)</f>
        <v/>
      </c>
      <c r="H179" s="36" t="str">
        <f aca="false">IF($B179="","",Pengaturan!$C$10+SUMIFS(Transaksi!$J$6:$J178,Transaksi!$G$6:$G178,Pengaturan!$F$19)-SUMIFS(Transaksi!$K$6:$K178,Transaksi!$G$6:$G178,Pengaturan!$F$19))</f>
        <v/>
      </c>
      <c r="I179" s="36" t="str">
        <f aca="false">IF($B179="","",Pengaturan!$C$11+SUMIFS(Transaksi!$J$6:$J178,Transaksi!$G$6:$G178,Pengaturan!$F$20)-SUMIFS(Transaksi!$K$6:$K178,Transaksi!$G$6:$G178,Pengaturan!$F$20))</f>
        <v/>
      </c>
      <c r="J179" s="41" t="str">
        <f aca="false">IF($B179="","",H179+I179)</f>
        <v/>
      </c>
    </row>
    <row r="180" customFormat="false" ht="15" hidden="false" customHeight="false" outlineLevel="0" collapsed="false">
      <c r="B180" s="38" t="str">
        <f aca="false">IF(Transaksi!C179="","",Transaksi!C179)</f>
        <v/>
      </c>
      <c r="C180" s="39" t="str">
        <f aca="false">IF(Transaksi!C179="","",Transaksi!D179)</f>
        <v/>
      </c>
      <c r="D180" s="40" t="str">
        <f aca="false">IF(Transaksi!C179="","",Transaksi!H179)</f>
        <v/>
      </c>
      <c r="E180" s="39" t="str">
        <f aca="false">IF(Transaksi!C179="","",Transaksi!G179)</f>
        <v/>
      </c>
      <c r="F180" s="36" t="str">
        <f aca="false">IF(Transaksi!C179="","",Transaksi!J179)</f>
        <v/>
      </c>
      <c r="G180" s="36" t="str">
        <f aca="false">IF(Transaksi!C179="","",Transaksi!K179)</f>
        <v/>
      </c>
      <c r="H180" s="36" t="str">
        <f aca="false">IF($B180="","",Pengaturan!$C$10+SUMIFS(Transaksi!$J$6:$J179,Transaksi!$G$6:$G179,Pengaturan!$F$19)-SUMIFS(Transaksi!$K$6:$K179,Transaksi!$G$6:$G179,Pengaturan!$F$19))</f>
        <v/>
      </c>
      <c r="I180" s="36" t="str">
        <f aca="false">IF($B180="","",Pengaturan!$C$11+SUMIFS(Transaksi!$J$6:$J179,Transaksi!$G$6:$G179,Pengaturan!$F$20)-SUMIFS(Transaksi!$K$6:$K179,Transaksi!$G$6:$G179,Pengaturan!$F$20))</f>
        <v/>
      </c>
      <c r="J180" s="41" t="str">
        <f aca="false">IF($B180="","",H180+I180)</f>
        <v/>
      </c>
    </row>
    <row r="181" customFormat="false" ht="15" hidden="false" customHeight="false" outlineLevel="0" collapsed="false">
      <c r="B181" s="38" t="str">
        <f aca="false">IF(Transaksi!C180="","",Transaksi!C180)</f>
        <v/>
      </c>
      <c r="C181" s="39" t="str">
        <f aca="false">IF(Transaksi!C180="","",Transaksi!D180)</f>
        <v/>
      </c>
      <c r="D181" s="40" t="str">
        <f aca="false">IF(Transaksi!C180="","",Transaksi!H180)</f>
        <v/>
      </c>
      <c r="E181" s="39" t="str">
        <f aca="false">IF(Transaksi!C180="","",Transaksi!G180)</f>
        <v/>
      </c>
      <c r="F181" s="36" t="str">
        <f aca="false">IF(Transaksi!C180="","",Transaksi!J180)</f>
        <v/>
      </c>
      <c r="G181" s="36" t="str">
        <f aca="false">IF(Transaksi!C180="","",Transaksi!K180)</f>
        <v/>
      </c>
      <c r="H181" s="36" t="str">
        <f aca="false">IF($B181="","",Pengaturan!$C$10+SUMIFS(Transaksi!$J$6:$J180,Transaksi!$G$6:$G180,Pengaturan!$F$19)-SUMIFS(Transaksi!$K$6:$K180,Transaksi!$G$6:$G180,Pengaturan!$F$19))</f>
        <v/>
      </c>
      <c r="I181" s="36" t="str">
        <f aca="false">IF($B181="","",Pengaturan!$C$11+SUMIFS(Transaksi!$J$6:$J180,Transaksi!$G$6:$G180,Pengaturan!$F$20)-SUMIFS(Transaksi!$K$6:$K180,Transaksi!$G$6:$G180,Pengaturan!$F$20))</f>
        <v/>
      </c>
      <c r="J181" s="41" t="str">
        <f aca="false">IF($B181="","",H181+I181)</f>
        <v/>
      </c>
    </row>
    <row r="182" customFormat="false" ht="15" hidden="false" customHeight="false" outlineLevel="0" collapsed="false">
      <c r="B182" s="38" t="str">
        <f aca="false">IF(Transaksi!C181="","",Transaksi!C181)</f>
        <v/>
      </c>
      <c r="C182" s="39" t="str">
        <f aca="false">IF(Transaksi!C181="","",Transaksi!D181)</f>
        <v/>
      </c>
      <c r="D182" s="40" t="str">
        <f aca="false">IF(Transaksi!C181="","",Transaksi!H181)</f>
        <v/>
      </c>
      <c r="E182" s="39" t="str">
        <f aca="false">IF(Transaksi!C181="","",Transaksi!G181)</f>
        <v/>
      </c>
      <c r="F182" s="36" t="str">
        <f aca="false">IF(Transaksi!C181="","",Transaksi!J181)</f>
        <v/>
      </c>
      <c r="G182" s="36" t="str">
        <f aca="false">IF(Transaksi!C181="","",Transaksi!K181)</f>
        <v/>
      </c>
      <c r="H182" s="36" t="str">
        <f aca="false">IF($B182="","",Pengaturan!$C$10+SUMIFS(Transaksi!$J$6:$J181,Transaksi!$G$6:$G181,Pengaturan!$F$19)-SUMIFS(Transaksi!$K$6:$K181,Transaksi!$G$6:$G181,Pengaturan!$F$19))</f>
        <v/>
      </c>
      <c r="I182" s="36" t="str">
        <f aca="false">IF($B182="","",Pengaturan!$C$11+SUMIFS(Transaksi!$J$6:$J181,Transaksi!$G$6:$G181,Pengaturan!$F$20)-SUMIFS(Transaksi!$K$6:$K181,Transaksi!$G$6:$G181,Pengaturan!$F$20))</f>
        <v/>
      </c>
      <c r="J182" s="41" t="str">
        <f aca="false">IF($B182="","",H182+I182)</f>
        <v/>
      </c>
    </row>
    <row r="183" customFormat="false" ht="15" hidden="false" customHeight="false" outlineLevel="0" collapsed="false">
      <c r="B183" s="38" t="str">
        <f aca="false">IF(Transaksi!C182="","",Transaksi!C182)</f>
        <v/>
      </c>
      <c r="C183" s="39" t="str">
        <f aca="false">IF(Transaksi!C182="","",Transaksi!D182)</f>
        <v/>
      </c>
      <c r="D183" s="40" t="str">
        <f aca="false">IF(Transaksi!C182="","",Transaksi!H182)</f>
        <v/>
      </c>
      <c r="E183" s="39" t="str">
        <f aca="false">IF(Transaksi!C182="","",Transaksi!G182)</f>
        <v/>
      </c>
      <c r="F183" s="36" t="str">
        <f aca="false">IF(Transaksi!C182="","",Transaksi!J182)</f>
        <v/>
      </c>
      <c r="G183" s="36" t="str">
        <f aca="false">IF(Transaksi!C182="","",Transaksi!K182)</f>
        <v/>
      </c>
      <c r="H183" s="36" t="str">
        <f aca="false">IF($B183="","",Pengaturan!$C$10+SUMIFS(Transaksi!$J$6:$J182,Transaksi!$G$6:$G182,Pengaturan!$F$19)-SUMIFS(Transaksi!$K$6:$K182,Transaksi!$G$6:$G182,Pengaturan!$F$19))</f>
        <v/>
      </c>
      <c r="I183" s="36" t="str">
        <f aca="false">IF($B183="","",Pengaturan!$C$11+SUMIFS(Transaksi!$J$6:$J182,Transaksi!$G$6:$G182,Pengaturan!$F$20)-SUMIFS(Transaksi!$K$6:$K182,Transaksi!$G$6:$G182,Pengaturan!$F$20))</f>
        <v/>
      </c>
      <c r="J183" s="41" t="str">
        <f aca="false">IF($B183="","",H183+I183)</f>
        <v/>
      </c>
    </row>
    <row r="184" customFormat="false" ht="15" hidden="false" customHeight="false" outlineLevel="0" collapsed="false">
      <c r="B184" s="38" t="str">
        <f aca="false">IF(Transaksi!C183="","",Transaksi!C183)</f>
        <v/>
      </c>
      <c r="C184" s="39" t="str">
        <f aca="false">IF(Transaksi!C183="","",Transaksi!D183)</f>
        <v/>
      </c>
      <c r="D184" s="40" t="str">
        <f aca="false">IF(Transaksi!C183="","",Transaksi!H183)</f>
        <v/>
      </c>
      <c r="E184" s="39" t="str">
        <f aca="false">IF(Transaksi!C183="","",Transaksi!G183)</f>
        <v/>
      </c>
      <c r="F184" s="36" t="str">
        <f aca="false">IF(Transaksi!C183="","",Transaksi!J183)</f>
        <v/>
      </c>
      <c r="G184" s="36" t="str">
        <f aca="false">IF(Transaksi!C183="","",Transaksi!K183)</f>
        <v/>
      </c>
      <c r="H184" s="36" t="str">
        <f aca="false">IF($B184="","",Pengaturan!$C$10+SUMIFS(Transaksi!$J$6:$J183,Transaksi!$G$6:$G183,Pengaturan!$F$19)-SUMIFS(Transaksi!$K$6:$K183,Transaksi!$G$6:$G183,Pengaturan!$F$19))</f>
        <v/>
      </c>
      <c r="I184" s="36" t="str">
        <f aca="false">IF($B184="","",Pengaturan!$C$11+SUMIFS(Transaksi!$J$6:$J183,Transaksi!$G$6:$G183,Pengaturan!$F$20)-SUMIFS(Transaksi!$K$6:$K183,Transaksi!$G$6:$G183,Pengaturan!$F$20))</f>
        <v/>
      </c>
      <c r="J184" s="41" t="str">
        <f aca="false">IF($B184="","",H184+I184)</f>
        <v/>
      </c>
    </row>
    <row r="185" customFormat="false" ht="15" hidden="false" customHeight="false" outlineLevel="0" collapsed="false">
      <c r="B185" s="38" t="str">
        <f aca="false">IF(Transaksi!C184="","",Transaksi!C184)</f>
        <v/>
      </c>
      <c r="C185" s="39" t="str">
        <f aca="false">IF(Transaksi!C184="","",Transaksi!D184)</f>
        <v/>
      </c>
      <c r="D185" s="40" t="str">
        <f aca="false">IF(Transaksi!C184="","",Transaksi!H184)</f>
        <v/>
      </c>
      <c r="E185" s="39" t="str">
        <f aca="false">IF(Transaksi!C184="","",Transaksi!G184)</f>
        <v/>
      </c>
      <c r="F185" s="36" t="str">
        <f aca="false">IF(Transaksi!C184="","",Transaksi!J184)</f>
        <v/>
      </c>
      <c r="G185" s="36" t="str">
        <f aca="false">IF(Transaksi!C184="","",Transaksi!K184)</f>
        <v/>
      </c>
      <c r="H185" s="36" t="str">
        <f aca="false">IF($B185="","",Pengaturan!$C$10+SUMIFS(Transaksi!$J$6:$J184,Transaksi!$G$6:$G184,Pengaturan!$F$19)-SUMIFS(Transaksi!$K$6:$K184,Transaksi!$G$6:$G184,Pengaturan!$F$19))</f>
        <v/>
      </c>
      <c r="I185" s="36" t="str">
        <f aca="false">IF($B185="","",Pengaturan!$C$11+SUMIFS(Transaksi!$J$6:$J184,Transaksi!$G$6:$G184,Pengaturan!$F$20)-SUMIFS(Transaksi!$K$6:$K184,Transaksi!$G$6:$G184,Pengaturan!$F$20))</f>
        <v/>
      </c>
      <c r="J185" s="41" t="str">
        <f aca="false">IF($B185="","",H185+I185)</f>
        <v/>
      </c>
    </row>
    <row r="186" customFormat="false" ht="15" hidden="false" customHeight="false" outlineLevel="0" collapsed="false">
      <c r="B186" s="38" t="str">
        <f aca="false">IF(Transaksi!C185="","",Transaksi!C185)</f>
        <v/>
      </c>
      <c r="C186" s="39" t="str">
        <f aca="false">IF(Transaksi!C185="","",Transaksi!D185)</f>
        <v/>
      </c>
      <c r="D186" s="40" t="str">
        <f aca="false">IF(Transaksi!C185="","",Transaksi!H185)</f>
        <v/>
      </c>
      <c r="E186" s="39" t="str">
        <f aca="false">IF(Transaksi!C185="","",Transaksi!G185)</f>
        <v/>
      </c>
      <c r="F186" s="36" t="str">
        <f aca="false">IF(Transaksi!C185="","",Transaksi!J185)</f>
        <v/>
      </c>
      <c r="G186" s="36" t="str">
        <f aca="false">IF(Transaksi!C185="","",Transaksi!K185)</f>
        <v/>
      </c>
      <c r="H186" s="36" t="str">
        <f aca="false">IF($B186="","",Pengaturan!$C$10+SUMIFS(Transaksi!$J$6:$J185,Transaksi!$G$6:$G185,Pengaturan!$F$19)-SUMIFS(Transaksi!$K$6:$K185,Transaksi!$G$6:$G185,Pengaturan!$F$19))</f>
        <v/>
      </c>
      <c r="I186" s="36" t="str">
        <f aca="false">IF($B186="","",Pengaturan!$C$11+SUMIFS(Transaksi!$J$6:$J185,Transaksi!$G$6:$G185,Pengaturan!$F$20)-SUMIFS(Transaksi!$K$6:$K185,Transaksi!$G$6:$G185,Pengaturan!$F$20))</f>
        <v/>
      </c>
      <c r="J186" s="41" t="str">
        <f aca="false">IF($B186="","",H186+I186)</f>
        <v/>
      </c>
    </row>
    <row r="187" customFormat="false" ht="15" hidden="false" customHeight="false" outlineLevel="0" collapsed="false">
      <c r="B187" s="38" t="str">
        <f aca="false">IF(Transaksi!C186="","",Transaksi!C186)</f>
        <v/>
      </c>
      <c r="C187" s="39" t="str">
        <f aca="false">IF(Transaksi!C186="","",Transaksi!D186)</f>
        <v/>
      </c>
      <c r="D187" s="40" t="str">
        <f aca="false">IF(Transaksi!C186="","",Transaksi!H186)</f>
        <v/>
      </c>
      <c r="E187" s="39" t="str">
        <f aca="false">IF(Transaksi!C186="","",Transaksi!G186)</f>
        <v/>
      </c>
      <c r="F187" s="36" t="str">
        <f aca="false">IF(Transaksi!C186="","",Transaksi!J186)</f>
        <v/>
      </c>
      <c r="G187" s="36" t="str">
        <f aca="false">IF(Transaksi!C186="","",Transaksi!K186)</f>
        <v/>
      </c>
      <c r="H187" s="36" t="str">
        <f aca="false">IF($B187="","",Pengaturan!$C$10+SUMIFS(Transaksi!$J$6:$J186,Transaksi!$G$6:$G186,Pengaturan!$F$19)-SUMIFS(Transaksi!$K$6:$K186,Transaksi!$G$6:$G186,Pengaturan!$F$19))</f>
        <v/>
      </c>
      <c r="I187" s="36" t="str">
        <f aca="false">IF($B187="","",Pengaturan!$C$11+SUMIFS(Transaksi!$J$6:$J186,Transaksi!$G$6:$G186,Pengaturan!$F$20)-SUMIFS(Transaksi!$K$6:$K186,Transaksi!$G$6:$G186,Pengaturan!$F$20))</f>
        <v/>
      </c>
      <c r="J187" s="41" t="str">
        <f aca="false">IF($B187="","",H187+I187)</f>
        <v/>
      </c>
    </row>
    <row r="188" customFormat="false" ht="15" hidden="false" customHeight="false" outlineLevel="0" collapsed="false">
      <c r="B188" s="38" t="str">
        <f aca="false">IF(Transaksi!C187="","",Transaksi!C187)</f>
        <v/>
      </c>
      <c r="C188" s="39" t="str">
        <f aca="false">IF(Transaksi!C187="","",Transaksi!D187)</f>
        <v/>
      </c>
      <c r="D188" s="40" t="str">
        <f aca="false">IF(Transaksi!C187="","",Transaksi!H187)</f>
        <v/>
      </c>
      <c r="E188" s="39" t="str">
        <f aca="false">IF(Transaksi!C187="","",Transaksi!G187)</f>
        <v/>
      </c>
      <c r="F188" s="36" t="str">
        <f aca="false">IF(Transaksi!C187="","",Transaksi!J187)</f>
        <v/>
      </c>
      <c r="G188" s="36" t="str">
        <f aca="false">IF(Transaksi!C187="","",Transaksi!K187)</f>
        <v/>
      </c>
      <c r="H188" s="36" t="str">
        <f aca="false">IF($B188="","",Pengaturan!$C$10+SUMIFS(Transaksi!$J$6:$J187,Transaksi!$G$6:$G187,Pengaturan!$F$19)-SUMIFS(Transaksi!$K$6:$K187,Transaksi!$G$6:$G187,Pengaturan!$F$19))</f>
        <v/>
      </c>
      <c r="I188" s="36" t="str">
        <f aca="false">IF($B188="","",Pengaturan!$C$11+SUMIFS(Transaksi!$J$6:$J187,Transaksi!$G$6:$G187,Pengaturan!$F$20)-SUMIFS(Transaksi!$K$6:$K187,Transaksi!$G$6:$G187,Pengaturan!$F$20))</f>
        <v/>
      </c>
      <c r="J188" s="41" t="str">
        <f aca="false">IF($B188="","",H188+I188)</f>
        <v/>
      </c>
    </row>
    <row r="189" customFormat="false" ht="15" hidden="false" customHeight="false" outlineLevel="0" collapsed="false">
      <c r="B189" s="38" t="str">
        <f aca="false">IF(Transaksi!C188="","",Transaksi!C188)</f>
        <v/>
      </c>
      <c r="C189" s="39" t="str">
        <f aca="false">IF(Transaksi!C188="","",Transaksi!D188)</f>
        <v/>
      </c>
      <c r="D189" s="40" t="str">
        <f aca="false">IF(Transaksi!C188="","",Transaksi!H188)</f>
        <v/>
      </c>
      <c r="E189" s="39" t="str">
        <f aca="false">IF(Transaksi!C188="","",Transaksi!G188)</f>
        <v/>
      </c>
      <c r="F189" s="36" t="str">
        <f aca="false">IF(Transaksi!C188="","",Transaksi!J188)</f>
        <v/>
      </c>
      <c r="G189" s="36" t="str">
        <f aca="false">IF(Transaksi!C188="","",Transaksi!K188)</f>
        <v/>
      </c>
      <c r="H189" s="36" t="str">
        <f aca="false">IF($B189="","",Pengaturan!$C$10+SUMIFS(Transaksi!$J$6:$J188,Transaksi!$G$6:$G188,Pengaturan!$F$19)-SUMIFS(Transaksi!$K$6:$K188,Transaksi!$G$6:$G188,Pengaturan!$F$19))</f>
        <v/>
      </c>
      <c r="I189" s="36" t="str">
        <f aca="false">IF($B189="","",Pengaturan!$C$11+SUMIFS(Transaksi!$J$6:$J188,Transaksi!$G$6:$G188,Pengaturan!$F$20)-SUMIFS(Transaksi!$K$6:$K188,Transaksi!$G$6:$G188,Pengaturan!$F$20))</f>
        <v/>
      </c>
      <c r="J189" s="41" t="str">
        <f aca="false">IF($B189="","",H189+I189)</f>
        <v/>
      </c>
    </row>
    <row r="190" customFormat="false" ht="15" hidden="false" customHeight="false" outlineLevel="0" collapsed="false">
      <c r="B190" s="38" t="str">
        <f aca="false">IF(Transaksi!C189="","",Transaksi!C189)</f>
        <v/>
      </c>
      <c r="C190" s="39" t="str">
        <f aca="false">IF(Transaksi!C189="","",Transaksi!D189)</f>
        <v/>
      </c>
      <c r="D190" s="40" t="str">
        <f aca="false">IF(Transaksi!C189="","",Transaksi!H189)</f>
        <v/>
      </c>
      <c r="E190" s="39" t="str">
        <f aca="false">IF(Transaksi!C189="","",Transaksi!G189)</f>
        <v/>
      </c>
      <c r="F190" s="36" t="str">
        <f aca="false">IF(Transaksi!C189="","",Transaksi!J189)</f>
        <v/>
      </c>
      <c r="G190" s="36" t="str">
        <f aca="false">IF(Transaksi!C189="","",Transaksi!K189)</f>
        <v/>
      </c>
      <c r="H190" s="36" t="str">
        <f aca="false">IF($B190="","",Pengaturan!$C$10+SUMIFS(Transaksi!$J$6:$J189,Transaksi!$G$6:$G189,Pengaturan!$F$19)-SUMIFS(Transaksi!$K$6:$K189,Transaksi!$G$6:$G189,Pengaturan!$F$19))</f>
        <v/>
      </c>
      <c r="I190" s="36" t="str">
        <f aca="false">IF($B190="","",Pengaturan!$C$11+SUMIFS(Transaksi!$J$6:$J189,Transaksi!$G$6:$G189,Pengaturan!$F$20)-SUMIFS(Transaksi!$K$6:$K189,Transaksi!$G$6:$G189,Pengaturan!$F$20))</f>
        <v/>
      </c>
      <c r="J190" s="41" t="str">
        <f aca="false">IF($B190="","",H190+I190)</f>
        <v/>
      </c>
    </row>
    <row r="191" customFormat="false" ht="15" hidden="false" customHeight="false" outlineLevel="0" collapsed="false">
      <c r="B191" s="38" t="str">
        <f aca="false">IF(Transaksi!C190="","",Transaksi!C190)</f>
        <v/>
      </c>
      <c r="C191" s="39" t="str">
        <f aca="false">IF(Transaksi!C190="","",Transaksi!D190)</f>
        <v/>
      </c>
      <c r="D191" s="40" t="str">
        <f aca="false">IF(Transaksi!C190="","",Transaksi!H190)</f>
        <v/>
      </c>
      <c r="E191" s="39" t="str">
        <f aca="false">IF(Transaksi!C190="","",Transaksi!G190)</f>
        <v/>
      </c>
      <c r="F191" s="36" t="str">
        <f aca="false">IF(Transaksi!C190="","",Transaksi!J190)</f>
        <v/>
      </c>
      <c r="G191" s="36" t="str">
        <f aca="false">IF(Transaksi!C190="","",Transaksi!K190)</f>
        <v/>
      </c>
      <c r="H191" s="36" t="str">
        <f aca="false">IF($B191="","",Pengaturan!$C$10+SUMIFS(Transaksi!$J$6:$J190,Transaksi!$G$6:$G190,Pengaturan!$F$19)-SUMIFS(Transaksi!$K$6:$K190,Transaksi!$G$6:$G190,Pengaturan!$F$19))</f>
        <v/>
      </c>
      <c r="I191" s="36" t="str">
        <f aca="false">IF($B191="","",Pengaturan!$C$11+SUMIFS(Transaksi!$J$6:$J190,Transaksi!$G$6:$G190,Pengaturan!$F$20)-SUMIFS(Transaksi!$K$6:$K190,Transaksi!$G$6:$G190,Pengaturan!$F$20))</f>
        <v/>
      </c>
      <c r="J191" s="41" t="str">
        <f aca="false">IF($B191="","",H191+I191)</f>
        <v/>
      </c>
    </row>
    <row r="192" customFormat="false" ht="15" hidden="false" customHeight="false" outlineLevel="0" collapsed="false">
      <c r="B192" s="38" t="str">
        <f aca="false">IF(Transaksi!C191="","",Transaksi!C191)</f>
        <v/>
      </c>
      <c r="C192" s="39" t="str">
        <f aca="false">IF(Transaksi!C191="","",Transaksi!D191)</f>
        <v/>
      </c>
      <c r="D192" s="40" t="str">
        <f aca="false">IF(Transaksi!C191="","",Transaksi!H191)</f>
        <v/>
      </c>
      <c r="E192" s="39" t="str">
        <f aca="false">IF(Transaksi!C191="","",Transaksi!G191)</f>
        <v/>
      </c>
      <c r="F192" s="36" t="str">
        <f aca="false">IF(Transaksi!C191="","",Transaksi!J191)</f>
        <v/>
      </c>
      <c r="G192" s="36" t="str">
        <f aca="false">IF(Transaksi!C191="","",Transaksi!K191)</f>
        <v/>
      </c>
      <c r="H192" s="36" t="str">
        <f aca="false">IF($B192="","",Pengaturan!$C$10+SUMIFS(Transaksi!$J$6:$J191,Transaksi!$G$6:$G191,Pengaturan!$F$19)-SUMIFS(Transaksi!$K$6:$K191,Transaksi!$G$6:$G191,Pengaturan!$F$19))</f>
        <v/>
      </c>
      <c r="I192" s="36" t="str">
        <f aca="false">IF($B192="","",Pengaturan!$C$11+SUMIFS(Transaksi!$J$6:$J191,Transaksi!$G$6:$G191,Pengaturan!$F$20)-SUMIFS(Transaksi!$K$6:$K191,Transaksi!$G$6:$G191,Pengaturan!$F$20))</f>
        <v/>
      </c>
      <c r="J192" s="41" t="str">
        <f aca="false">IF($B192="","",H192+I192)</f>
        <v/>
      </c>
    </row>
    <row r="193" customFormat="false" ht="15" hidden="false" customHeight="false" outlineLevel="0" collapsed="false">
      <c r="B193" s="38" t="str">
        <f aca="false">IF(Transaksi!C192="","",Transaksi!C192)</f>
        <v/>
      </c>
      <c r="C193" s="39" t="str">
        <f aca="false">IF(Transaksi!C192="","",Transaksi!D192)</f>
        <v/>
      </c>
      <c r="D193" s="40" t="str">
        <f aca="false">IF(Transaksi!C192="","",Transaksi!H192)</f>
        <v/>
      </c>
      <c r="E193" s="39" t="str">
        <f aca="false">IF(Transaksi!C192="","",Transaksi!G192)</f>
        <v/>
      </c>
      <c r="F193" s="36" t="str">
        <f aca="false">IF(Transaksi!C192="","",Transaksi!J192)</f>
        <v/>
      </c>
      <c r="G193" s="36" t="str">
        <f aca="false">IF(Transaksi!C192="","",Transaksi!K192)</f>
        <v/>
      </c>
      <c r="H193" s="36" t="str">
        <f aca="false">IF($B193="","",Pengaturan!$C$10+SUMIFS(Transaksi!$J$6:$J192,Transaksi!$G$6:$G192,Pengaturan!$F$19)-SUMIFS(Transaksi!$K$6:$K192,Transaksi!$G$6:$G192,Pengaturan!$F$19))</f>
        <v/>
      </c>
      <c r="I193" s="36" t="str">
        <f aca="false">IF($B193="","",Pengaturan!$C$11+SUMIFS(Transaksi!$J$6:$J192,Transaksi!$G$6:$G192,Pengaturan!$F$20)-SUMIFS(Transaksi!$K$6:$K192,Transaksi!$G$6:$G192,Pengaturan!$F$20))</f>
        <v/>
      </c>
      <c r="J193" s="41" t="str">
        <f aca="false">IF($B193="","",H193+I193)</f>
        <v/>
      </c>
    </row>
    <row r="194" customFormat="false" ht="15" hidden="false" customHeight="false" outlineLevel="0" collapsed="false">
      <c r="B194" s="38" t="str">
        <f aca="false">IF(Transaksi!C193="","",Transaksi!C193)</f>
        <v/>
      </c>
      <c r="C194" s="39" t="str">
        <f aca="false">IF(Transaksi!C193="","",Transaksi!D193)</f>
        <v/>
      </c>
      <c r="D194" s="40" t="str">
        <f aca="false">IF(Transaksi!C193="","",Transaksi!H193)</f>
        <v/>
      </c>
      <c r="E194" s="39" t="str">
        <f aca="false">IF(Transaksi!C193="","",Transaksi!G193)</f>
        <v/>
      </c>
      <c r="F194" s="36" t="str">
        <f aca="false">IF(Transaksi!C193="","",Transaksi!J193)</f>
        <v/>
      </c>
      <c r="G194" s="36" t="str">
        <f aca="false">IF(Transaksi!C193="","",Transaksi!K193)</f>
        <v/>
      </c>
      <c r="H194" s="36" t="str">
        <f aca="false">IF($B194="","",Pengaturan!$C$10+SUMIFS(Transaksi!$J$6:$J193,Transaksi!$G$6:$G193,Pengaturan!$F$19)-SUMIFS(Transaksi!$K$6:$K193,Transaksi!$G$6:$G193,Pengaturan!$F$19))</f>
        <v/>
      </c>
      <c r="I194" s="36" t="str">
        <f aca="false">IF($B194="","",Pengaturan!$C$11+SUMIFS(Transaksi!$J$6:$J193,Transaksi!$G$6:$G193,Pengaturan!$F$20)-SUMIFS(Transaksi!$K$6:$K193,Transaksi!$G$6:$G193,Pengaturan!$F$20))</f>
        <v/>
      </c>
      <c r="J194" s="41" t="str">
        <f aca="false">IF($B194="","",H194+I194)</f>
        <v/>
      </c>
    </row>
    <row r="195" customFormat="false" ht="15" hidden="false" customHeight="false" outlineLevel="0" collapsed="false">
      <c r="B195" s="38" t="str">
        <f aca="false">IF(Transaksi!C194="","",Transaksi!C194)</f>
        <v/>
      </c>
      <c r="C195" s="39" t="str">
        <f aca="false">IF(Transaksi!C194="","",Transaksi!D194)</f>
        <v/>
      </c>
      <c r="D195" s="40" t="str">
        <f aca="false">IF(Transaksi!C194="","",Transaksi!H194)</f>
        <v/>
      </c>
      <c r="E195" s="39" t="str">
        <f aca="false">IF(Transaksi!C194="","",Transaksi!G194)</f>
        <v/>
      </c>
      <c r="F195" s="36" t="str">
        <f aca="false">IF(Transaksi!C194="","",Transaksi!J194)</f>
        <v/>
      </c>
      <c r="G195" s="36" t="str">
        <f aca="false">IF(Transaksi!C194="","",Transaksi!K194)</f>
        <v/>
      </c>
      <c r="H195" s="36" t="str">
        <f aca="false">IF($B195="","",Pengaturan!$C$10+SUMIFS(Transaksi!$J$6:$J194,Transaksi!$G$6:$G194,Pengaturan!$F$19)-SUMIFS(Transaksi!$K$6:$K194,Transaksi!$G$6:$G194,Pengaturan!$F$19))</f>
        <v/>
      </c>
      <c r="I195" s="36" t="str">
        <f aca="false">IF($B195="","",Pengaturan!$C$11+SUMIFS(Transaksi!$J$6:$J194,Transaksi!$G$6:$G194,Pengaturan!$F$20)-SUMIFS(Transaksi!$K$6:$K194,Transaksi!$G$6:$G194,Pengaturan!$F$20))</f>
        <v/>
      </c>
      <c r="J195" s="41" t="str">
        <f aca="false">IF($B195="","",H195+I195)</f>
        <v/>
      </c>
    </row>
    <row r="196" customFormat="false" ht="15" hidden="false" customHeight="false" outlineLevel="0" collapsed="false">
      <c r="B196" s="38" t="str">
        <f aca="false">IF(Transaksi!C195="","",Transaksi!C195)</f>
        <v/>
      </c>
      <c r="C196" s="39" t="str">
        <f aca="false">IF(Transaksi!C195="","",Transaksi!D195)</f>
        <v/>
      </c>
      <c r="D196" s="40" t="str">
        <f aca="false">IF(Transaksi!C195="","",Transaksi!H195)</f>
        <v/>
      </c>
      <c r="E196" s="39" t="str">
        <f aca="false">IF(Transaksi!C195="","",Transaksi!G195)</f>
        <v/>
      </c>
      <c r="F196" s="36" t="str">
        <f aca="false">IF(Transaksi!C195="","",Transaksi!J195)</f>
        <v/>
      </c>
      <c r="G196" s="36" t="str">
        <f aca="false">IF(Transaksi!C195="","",Transaksi!K195)</f>
        <v/>
      </c>
      <c r="H196" s="36" t="str">
        <f aca="false">IF($B196="","",Pengaturan!$C$10+SUMIFS(Transaksi!$J$6:$J195,Transaksi!$G$6:$G195,Pengaturan!$F$19)-SUMIFS(Transaksi!$K$6:$K195,Transaksi!$G$6:$G195,Pengaturan!$F$19))</f>
        <v/>
      </c>
      <c r="I196" s="36" t="str">
        <f aca="false">IF($B196="","",Pengaturan!$C$11+SUMIFS(Transaksi!$J$6:$J195,Transaksi!$G$6:$G195,Pengaturan!$F$20)-SUMIFS(Transaksi!$K$6:$K195,Transaksi!$G$6:$G195,Pengaturan!$F$20))</f>
        <v/>
      </c>
      <c r="J196" s="41" t="str">
        <f aca="false">IF($B196="","",H196+I196)</f>
        <v/>
      </c>
    </row>
    <row r="197" customFormat="false" ht="15" hidden="false" customHeight="false" outlineLevel="0" collapsed="false">
      <c r="B197" s="38" t="str">
        <f aca="false">IF(Transaksi!C196="","",Transaksi!C196)</f>
        <v/>
      </c>
      <c r="C197" s="39" t="str">
        <f aca="false">IF(Transaksi!C196="","",Transaksi!D196)</f>
        <v/>
      </c>
      <c r="D197" s="40" t="str">
        <f aca="false">IF(Transaksi!C196="","",Transaksi!H196)</f>
        <v/>
      </c>
      <c r="E197" s="39" t="str">
        <f aca="false">IF(Transaksi!C196="","",Transaksi!G196)</f>
        <v/>
      </c>
      <c r="F197" s="36" t="str">
        <f aca="false">IF(Transaksi!C196="","",Transaksi!J196)</f>
        <v/>
      </c>
      <c r="G197" s="36" t="str">
        <f aca="false">IF(Transaksi!C196="","",Transaksi!K196)</f>
        <v/>
      </c>
      <c r="H197" s="36" t="str">
        <f aca="false">IF($B197="","",Pengaturan!$C$10+SUMIFS(Transaksi!$J$6:$J196,Transaksi!$G$6:$G196,Pengaturan!$F$19)-SUMIFS(Transaksi!$K$6:$K196,Transaksi!$G$6:$G196,Pengaturan!$F$19))</f>
        <v/>
      </c>
      <c r="I197" s="36" t="str">
        <f aca="false">IF($B197="","",Pengaturan!$C$11+SUMIFS(Transaksi!$J$6:$J196,Transaksi!$G$6:$G196,Pengaturan!$F$20)-SUMIFS(Transaksi!$K$6:$K196,Transaksi!$G$6:$G196,Pengaturan!$F$20))</f>
        <v/>
      </c>
      <c r="J197" s="41" t="str">
        <f aca="false">IF($B197="","",H197+I197)</f>
        <v/>
      </c>
    </row>
    <row r="198" customFormat="false" ht="15" hidden="false" customHeight="false" outlineLevel="0" collapsed="false">
      <c r="B198" s="38" t="str">
        <f aca="false">IF(Transaksi!C197="","",Transaksi!C197)</f>
        <v/>
      </c>
      <c r="C198" s="39" t="str">
        <f aca="false">IF(Transaksi!C197="","",Transaksi!D197)</f>
        <v/>
      </c>
      <c r="D198" s="40" t="str">
        <f aca="false">IF(Transaksi!C197="","",Transaksi!H197)</f>
        <v/>
      </c>
      <c r="E198" s="39" t="str">
        <f aca="false">IF(Transaksi!C197="","",Transaksi!G197)</f>
        <v/>
      </c>
      <c r="F198" s="36" t="str">
        <f aca="false">IF(Transaksi!C197="","",Transaksi!J197)</f>
        <v/>
      </c>
      <c r="G198" s="36" t="str">
        <f aca="false">IF(Transaksi!C197="","",Transaksi!K197)</f>
        <v/>
      </c>
      <c r="H198" s="36" t="str">
        <f aca="false">IF($B198="","",Pengaturan!$C$10+SUMIFS(Transaksi!$J$6:$J197,Transaksi!$G$6:$G197,Pengaturan!$F$19)-SUMIFS(Transaksi!$K$6:$K197,Transaksi!$G$6:$G197,Pengaturan!$F$19))</f>
        <v/>
      </c>
      <c r="I198" s="36" t="str">
        <f aca="false">IF($B198="","",Pengaturan!$C$11+SUMIFS(Transaksi!$J$6:$J197,Transaksi!$G$6:$G197,Pengaturan!$F$20)-SUMIFS(Transaksi!$K$6:$K197,Transaksi!$G$6:$G197,Pengaturan!$F$20))</f>
        <v/>
      </c>
      <c r="J198" s="41" t="str">
        <f aca="false">IF($B198="","",H198+I198)</f>
        <v/>
      </c>
    </row>
    <row r="199" customFormat="false" ht="15" hidden="false" customHeight="false" outlineLevel="0" collapsed="false">
      <c r="B199" s="38" t="str">
        <f aca="false">IF(Transaksi!C198="","",Transaksi!C198)</f>
        <v/>
      </c>
      <c r="C199" s="39" t="str">
        <f aca="false">IF(Transaksi!C198="","",Transaksi!D198)</f>
        <v/>
      </c>
      <c r="D199" s="40" t="str">
        <f aca="false">IF(Transaksi!C198="","",Transaksi!H198)</f>
        <v/>
      </c>
      <c r="E199" s="39" t="str">
        <f aca="false">IF(Transaksi!C198="","",Transaksi!G198)</f>
        <v/>
      </c>
      <c r="F199" s="36" t="str">
        <f aca="false">IF(Transaksi!C198="","",Transaksi!J198)</f>
        <v/>
      </c>
      <c r="G199" s="36" t="str">
        <f aca="false">IF(Transaksi!C198="","",Transaksi!K198)</f>
        <v/>
      </c>
      <c r="H199" s="36" t="str">
        <f aca="false">IF($B199="","",Pengaturan!$C$10+SUMIFS(Transaksi!$J$6:$J198,Transaksi!$G$6:$G198,Pengaturan!$F$19)-SUMIFS(Transaksi!$K$6:$K198,Transaksi!$G$6:$G198,Pengaturan!$F$19))</f>
        <v/>
      </c>
      <c r="I199" s="36" t="str">
        <f aca="false">IF($B199="","",Pengaturan!$C$11+SUMIFS(Transaksi!$J$6:$J198,Transaksi!$G$6:$G198,Pengaturan!$F$20)-SUMIFS(Transaksi!$K$6:$K198,Transaksi!$G$6:$G198,Pengaturan!$F$20))</f>
        <v/>
      </c>
      <c r="J199" s="41" t="str">
        <f aca="false">IF($B199="","",H199+I199)</f>
        <v/>
      </c>
    </row>
    <row r="200" customFormat="false" ht="15" hidden="false" customHeight="false" outlineLevel="0" collapsed="false">
      <c r="B200" s="38" t="str">
        <f aca="false">IF(Transaksi!C199="","",Transaksi!C199)</f>
        <v/>
      </c>
      <c r="C200" s="39" t="str">
        <f aca="false">IF(Transaksi!C199="","",Transaksi!D199)</f>
        <v/>
      </c>
      <c r="D200" s="40" t="str">
        <f aca="false">IF(Transaksi!C199="","",Transaksi!H199)</f>
        <v/>
      </c>
      <c r="E200" s="39" t="str">
        <f aca="false">IF(Transaksi!C199="","",Transaksi!G199)</f>
        <v/>
      </c>
      <c r="F200" s="36" t="str">
        <f aca="false">IF(Transaksi!C199="","",Transaksi!J199)</f>
        <v/>
      </c>
      <c r="G200" s="36" t="str">
        <f aca="false">IF(Transaksi!C199="","",Transaksi!K199)</f>
        <v/>
      </c>
      <c r="H200" s="36" t="str">
        <f aca="false">IF($B200="","",Pengaturan!$C$10+SUMIFS(Transaksi!$J$6:$J199,Transaksi!$G$6:$G199,Pengaturan!$F$19)-SUMIFS(Transaksi!$K$6:$K199,Transaksi!$G$6:$G199,Pengaturan!$F$19))</f>
        <v/>
      </c>
      <c r="I200" s="36" t="str">
        <f aca="false">IF($B200="","",Pengaturan!$C$11+SUMIFS(Transaksi!$J$6:$J199,Transaksi!$G$6:$G199,Pengaturan!$F$20)-SUMIFS(Transaksi!$K$6:$K199,Transaksi!$G$6:$G199,Pengaturan!$F$20))</f>
        <v/>
      </c>
      <c r="J200" s="41" t="str">
        <f aca="false">IF($B200="","",H200+I200)</f>
        <v/>
      </c>
    </row>
    <row r="201" customFormat="false" ht="15" hidden="false" customHeight="false" outlineLevel="0" collapsed="false">
      <c r="B201" s="38" t="str">
        <f aca="false">IF(Transaksi!C200="","",Transaksi!C200)</f>
        <v/>
      </c>
      <c r="C201" s="39" t="str">
        <f aca="false">IF(Transaksi!C200="","",Transaksi!D200)</f>
        <v/>
      </c>
      <c r="D201" s="40" t="str">
        <f aca="false">IF(Transaksi!C200="","",Transaksi!H200)</f>
        <v/>
      </c>
      <c r="E201" s="39" t="str">
        <f aca="false">IF(Transaksi!C200="","",Transaksi!G200)</f>
        <v/>
      </c>
      <c r="F201" s="36" t="str">
        <f aca="false">IF(Transaksi!C200="","",Transaksi!J200)</f>
        <v/>
      </c>
      <c r="G201" s="36" t="str">
        <f aca="false">IF(Transaksi!C200="","",Transaksi!K200)</f>
        <v/>
      </c>
      <c r="H201" s="36" t="str">
        <f aca="false">IF($B201="","",Pengaturan!$C$10+SUMIFS(Transaksi!$J$6:$J200,Transaksi!$G$6:$G200,Pengaturan!$F$19)-SUMIFS(Transaksi!$K$6:$K200,Transaksi!$G$6:$G200,Pengaturan!$F$19))</f>
        <v/>
      </c>
      <c r="I201" s="36" t="str">
        <f aca="false">IF($B201="","",Pengaturan!$C$11+SUMIFS(Transaksi!$J$6:$J200,Transaksi!$G$6:$G200,Pengaturan!$F$20)-SUMIFS(Transaksi!$K$6:$K200,Transaksi!$G$6:$G200,Pengaturan!$F$20))</f>
        <v/>
      </c>
      <c r="J201" s="41" t="str">
        <f aca="false">IF($B201="","",H201+I201)</f>
        <v/>
      </c>
    </row>
    <row r="202" customFormat="false" ht="15" hidden="false" customHeight="false" outlineLevel="0" collapsed="false">
      <c r="B202" s="38" t="str">
        <f aca="false">IF(Transaksi!C201="","",Transaksi!C201)</f>
        <v/>
      </c>
      <c r="C202" s="39" t="str">
        <f aca="false">IF(Transaksi!C201="","",Transaksi!D201)</f>
        <v/>
      </c>
      <c r="D202" s="40" t="str">
        <f aca="false">IF(Transaksi!C201="","",Transaksi!H201)</f>
        <v/>
      </c>
      <c r="E202" s="39" t="str">
        <f aca="false">IF(Transaksi!C201="","",Transaksi!G201)</f>
        <v/>
      </c>
      <c r="F202" s="36" t="str">
        <f aca="false">IF(Transaksi!C201="","",Transaksi!J201)</f>
        <v/>
      </c>
      <c r="G202" s="36" t="str">
        <f aca="false">IF(Transaksi!C201="","",Transaksi!K201)</f>
        <v/>
      </c>
      <c r="H202" s="36" t="str">
        <f aca="false">IF($B202="","",Pengaturan!$C$10+SUMIFS(Transaksi!$J$6:$J201,Transaksi!$G$6:$G201,Pengaturan!$F$19)-SUMIFS(Transaksi!$K$6:$K201,Transaksi!$G$6:$G201,Pengaturan!$F$19))</f>
        <v/>
      </c>
      <c r="I202" s="36" t="str">
        <f aca="false">IF($B202="","",Pengaturan!$C$11+SUMIFS(Transaksi!$J$6:$J201,Transaksi!$G$6:$G201,Pengaturan!$F$20)-SUMIFS(Transaksi!$K$6:$K201,Transaksi!$G$6:$G201,Pengaturan!$F$20))</f>
        <v/>
      </c>
      <c r="J202" s="41" t="str">
        <f aca="false">IF($B202="","",H202+I202)</f>
        <v/>
      </c>
    </row>
    <row r="203" customFormat="false" ht="15" hidden="false" customHeight="false" outlineLevel="0" collapsed="false">
      <c r="B203" s="38" t="str">
        <f aca="false">IF(Transaksi!C202="","",Transaksi!C202)</f>
        <v/>
      </c>
      <c r="C203" s="39" t="str">
        <f aca="false">IF(Transaksi!C202="","",Transaksi!D202)</f>
        <v/>
      </c>
      <c r="D203" s="40" t="str">
        <f aca="false">IF(Transaksi!C202="","",Transaksi!H202)</f>
        <v/>
      </c>
      <c r="E203" s="39" t="str">
        <f aca="false">IF(Transaksi!C202="","",Transaksi!G202)</f>
        <v/>
      </c>
      <c r="F203" s="36" t="str">
        <f aca="false">IF(Transaksi!C202="","",Transaksi!J202)</f>
        <v/>
      </c>
      <c r="G203" s="36" t="str">
        <f aca="false">IF(Transaksi!C202="","",Transaksi!K202)</f>
        <v/>
      </c>
      <c r="H203" s="36" t="str">
        <f aca="false">IF($B203="","",Pengaturan!$C$10+SUMIFS(Transaksi!$J$6:$J202,Transaksi!$G$6:$G202,Pengaturan!$F$19)-SUMIFS(Transaksi!$K$6:$K202,Transaksi!$G$6:$G202,Pengaturan!$F$19))</f>
        <v/>
      </c>
      <c r="I203" s="36" t="str">
        <f aca="false">IF($B203="","",Pengaturan!$C$11+SUMIFS(Transaksi!$J$6:$J202,Transaksi!$G$6:$G202,Pengaturan!$F$20)-SUMIFS(Transaksi!$K$6:$K202,Transaksi!$G$6:$G202,Pengaturan!$F$20))</f>
        <v/>
      </c>
      <c r="J203" s="41" t="str">
        <f aca="false">IF($B203="","",H203+I203)</f>
        <v/>
      </c>
    </row>
    <row r="204" customFormat="false" ht="15" hidden="false" customHeight="false" outlineLevel="0" collapsed="false">
      <c r="B204" s="38" t="str">
        <f aca="false">IF(Transaksi!C203="","",Transaksi!C203)</f>
        <v/>
      </c>
      <c r="C204" s="39" t="str">
        <f aca="false">IF(Transaksi!C203="","",Transaksi!D203)</f>
        <v/>
      </c>
      <c r="D204" s="40" t="str">
        <f aca="false">IF(Transaksi!C203="","",Transaksi!H203)</f>
        <v/>
      </c>
      <c r="E204" s="39" t="str">
        <f aca="false">IF(Transaksi!C203="","",Transaksi!G203)</f>
        <v/>
      </c>
      <c r="F204" s="36" t="str">
        <f aca="false">IF(Transaksi!C203="","",Transaksi!J203)</f>
        <v/>
      </c>
      <c r="G204" s="36" t="str">
        <f aca="false">IF(Transaksi!C203="","",Transaksi!K203)</f>
        <v/>
      </c>
      <c r="H204" s="36" t="str">
        <f aca="false">IF($B204="","",Pengaturan!$C$10+SUMIFS(Transaksi!$J$6:$J203,Transaksi!$G$6:$G203,Pengaturan!$F$19)-SUMIFS(Transaksi!$K$6:$K203,Transaksi!$G$6:$G203,Pengaturan!$F$19))</f>
        <v/>
      </c>
      <c r="I204" s="36" t="str">
        <f aca="false">IF($B204="","",Pengaturan!$C$11+SUMIFS(Transaksi!$J$6:$J203,Transaksi!$G$6:$G203,Pengaturan!$F$20)-SUMIFS(Transaksi!$K$6:$K203,Transaksi!$G$6:$G203,Pengaturan!$F$20))</f>
        <v/>
      </c>
      <c r="J204" s="41" t="str">
        <f aca="false">IF($B204="","",H204+I204)</f>
        <v/>
      </c>
    </row>
    <row r="205" customFormat="false" ht="15" hidden="false" customHeight="false" outlineLevel="0" collapsed="false">
      <c r="B205" s="38" t="str">
        <f aca="false">IF(Transaksi!C204="","",Transaksi!C204)</f>
        <v/>
      </c>
      <c r="C205" s="39" t="str">
        <f aca="false">IF(Transaksi!C204="","",Transaksi!D204)</f>
        <v/>
      </c>
      <c r="D205" s="40" t="str">
        <f aca="false">IF(Transaksi!C204="","",Transaksi!H204)</f>
        <v/>
      </c>
      <c r="E205" s="39" t="str">
        <f aca="false">IF(Transaksi!C204="","",Transaksi!G204)</f>
        <v/>
      </c>
      <c r="F205" s="36" t="str">
        <f aca="false">IF(Transaksi!C204="","",Transaksi!J204)</f>
        <v/>
      </c>
      <c r="G205" s="36" t="str">
        <f aca="false">IF(Transaksi!C204="","",Transaksi!K204)</f>
        <v/>
      </c>
      <c r="H205" s="36" t="str">
        <f aca="false">IF($B205="","",Pengaturan!$C$10+SUMIFS(Transaksi!$J$6:$J204,Transaksi!$G$6:$G204,Pengaturan!$F$19)-SUMIFS(Transaksi!$K$6:$K204,Transaksi!$G$6:$G204,Pengaturan!$F$19))</f>
        <v/>
      </c>
      <c r="I205" s="36" t="str">
        <f aca="false">IF($B205="","",Pengaturan!$C$11+SUMIFS(Transaksi!$J$6:$J204,Transaksi!$G$6:$G204,Pengaturan!$F$20)-SUMIFS(Transaksi!$K$6:$K204,Transaksi!$G$6:$G204,Pengaturan!$F$20))</f>
        <v/>
      </c>
      <c r="J205" s="41" t="str">
        <f aca="false">IF($B205="","",H205+I205)</f>
        <v/>
      </c>
    </row>
    <row r="206" customFormat="false" ht="15" hidden="false" customHeight="false" outlineLevel="0" collapsed="false">
      <c r="B206" s="38" t="str">
        <f aca="false">IF(Transaksi!C205="","",Transaksi!C205)</f>
        <v/>
      </c>
      <c r="C206" s="39" t="str">
        <f aca="false">IF(Transaksi!C205="","",Transaksi!D205)</f>
        <v/>
      </c>
      <c r="D206" s="40" t="str">
        <f aca="false">IF(Transaksi!C205="","",Transaksi!H205)</f>
        <v/>
      </c>
      <c r="E206" s="39" t="str">
        <f aca="false">IF(Transaksi!C205="","",Transaksi!G205)</f>
        <v/>
      </c>
      <c r="F206" s="36" t="str">
        <f aca="false">IF(Transaksi!C205="","",Transaksi!J205)</f>
        <v/>
      </c>
      <c r="G206" s="36" t="str">
        <f aca="false">IF(Transaksi!C205="","",Transaksi!K205)</f>
        <v/>
      </c>
      <c r="H206" s="36" t="str">
        <f aca="false">IF($B206="","",Pengaturan!$C$10+SUMIFS(Transaksi!$J$6:$J205,Transaksi!$G$6:$G205,Pengaturan!$F$19)-SUMIFS(Transaksi!$K$6:$K205,Transaksi!$G$6:$G205,Pengaturan!$F$19))</f>
        <v/>
      </c>
      <c r="I206" s="36" t="str">
        <f aca="false">IF($B206="","",Pengaturan!$C$11+SUMIFS(Transaksi!$J$6:$J205,Transaksi!$G$6:$G205,Pengaturan!$F$20)-SUMIFS(Transaksi!$K$6:$K205,Transaksi!$G$6:$G205,Pengaturan!$F$20))</f>
        <v/>
      </c>
      <c r="J206" s="41" t="str">
        <f aca="false">IF($B206="","",H206+I206)</f>
        <v/>
      </c>
    </row>
    <row r="207" customFormat="false" ht="15" hidden="false" customHeight="false" outlineLevel="0" collapsed="false">
      <c r="B207" s="38" t="str">
        <f aca="false">IF(Transaksi!C206="","",Transaksi!C206)</f>
        <v/>
      </c>
      <c r="C207" s="39" t="str">
        <f aca="false">IF(Transaksi!C206="","",Transaksi!D206)</f>
        <v/>
      </c>
      <c r="D207" s="40" t="str">
        <f aca="false">IF(Transaksi!C206="","",Transaksi!H206)</f>
        <v/>
      </c>
      <c r="E207" s="39" t="str">
        <f aca="false">IF(Transaksi!C206="","",Transaksi!G206)</f>
        <v/>
      </c>
      <c r="F207" s="36" t="str">
        <f aca="false">IF(Transaksi!C206="","",Transaksi!J206)</f>
        <v/>
      </c>
      <c r="G207" s="36" t="str">
        <f aca="false">IF(Transaksi!C206="","",Transaksi!K206)</f>
        <v/>
      </c>
      <c r="H207" s="36" t="str">
        <f aca="false">IF($B207="","",Pengaturan!$C$10+SUMIFS(Transaksi!$J$6:$J206,Transaksi!$G$6:$G206,Pengaturan!$F$19)-SUMIFS(Transaksi!$K$6:$K206,Transaksi!$G$6:$G206,Pengaturan!$F$19))</f>
        <v/>
      </c>
      <c r="I207" s="36" t="str">
        <f aca="false">IF($B207="","",Pengaturan!$C$11+SUMIFS(Transaksi!$J$6:$J206,Transaksi!$G$6:$G206,Pengaturan!$F$20)-SUMIFS(Transaksi!$K$6:$K206,Transaksi!$G$6:$G206,Pengaturan!$F$20))</f>
        <v/>
      </c>
      <c r="J207" s="41" t="str">
        <f aca="false">IF($B207="","",H207+I207)</f>
        <v/>
      </c>
    </row>
    <row r="208" customFormat="false" ht="15" hidden="false" customHeight="false" outlineLevel="0" collapsed="false">
      <c r="B208" s="38" t="str">
        <f aca="false">IF(Transaksi!C207="","",Transaksi!C207)</f>
        <v/>
      </c>
      <c r="C208" s="39" t="str">
        <f aca="false">IF(Transaksi!C207="","",Transaksi!D207)</f>
        <v/>
      </c>
      <c r="D208" s="40" t="str">
        <f aca="false">IF(Transaksi!C207="","",Transaksi!H207)</f>
        <v/>
      </c>
      <c r="E208" s="39" t="str">
        <f aca="false">IF(Transaksi!C207="","",Transaksi!G207)</f>
        <v/>
      </c>
      <c r="F208" s="36" t="str">
        <f aca="false">IF(Transaksi!C207="","",Transaksi!J207)</f>
        <v/>
      </c>
      <c r="G208" s="36" t="str">
        <f aca="false">IF(Transaksi!C207="","",Transaksi!K207)</f>
        <v/>
      </c>
      <c r="H208" s="36" t="str">
        <f aca="false">IF($B208="","",Pengaturan!$C$10+SUMIFS(Transaksi!$J$6:$J207,Transaksi!$G$6:$G207,Pengaturan!$F$19)-SUMIFS(Transaksi!$K$6:$K207,Transaksi!$G$6:$G207,Pengaturan!$F$19))</f>
        <v/>
      </c>
      <c r="I208" s="36" t="str">
        <f aca="false">IF($B208="","",Pengaturan!$C$11+SUMIFS(Transaksi!$J$6:$J207,Transaksi!$G$6:$G207,Pengaturan!$F$20)-SUMIFS(Transaksi!$K$6:$K207,Transaksi!$G$6:$G207,Pengaturan!$F$20))</f>
        <v/>
      </c>
      <c r="J208" s="41" t="str">
        <f aca="false">IF($B208="","",H208+I208)</f>
        <v/>
      </c>
    </row>
    <row r="209" customFormat="false" ht="15" hidden="false" customHeight="false" outlineLevel="0" collapsed="false">
      <c r="B209" s="38" t="str">
        <f aca="false">IF(Transaksi!C208="","",Transaksi!C208)</f>
        <v/>
      </c>
      <c r="C209" s="39" t="str">
        <f aca="false">IF(Transaksi!C208="","",Transaksi!D208)</f>
        <v/>
      </c>
      <c r="D209" s="40" t="str">
        <f aca="false">IF(Transaksi!C208="","",Transaksi!H208)</f>
        <v/>
      </c>
      <c r="E209" s="39" t="str">
        <f aca="false">IF(Transaksi!C208="","",Transaksi!G208)</f>
        <v/>
      </c>
      <c r="F209" s="36" t="str">
        <f aca="false">IF(Transaksi!C208="","",Transaksi!J208)</f>
        <v/>
      </c>
      <c r="G209" s="36" t="str">
        <f aca="false">IF(Transaksi!C208="","",Transaksi!K208)</f>
        <v/>
      </c>
      <c r="H209" s="36" t="str">
        <f aca="false">IF($B209="","",Pengaturan!$C$10+SUMIFS(Transaksi!$J$6:$J208,Transaksi!$G$6:$G208,Pengaturan!$F$19)-SUMIFS(Transaksi!$K$6:$K208,Transaksi!$G$6:$G208,Pengaturan!$F$19))</f>
        <v/>
      </c>
      <c r="I209" s="36" t="str">
        <f aca="false">IF($B209="","",Pengaturan!$C$11+SUMIFS(Transaksi!$J$6:$J208,Transaksi!$G$6:$G208,Pengaturan!$F$20)-SUMIFS(Transaksi!$K$6:$K208,Transaksi!$G$6:$G208,Pengaturan!$F$20))</f>
        <v/>
      </c>
      <c r="J209" s="41" t="str">
        <f aca="false">IF($B209="","",H209+I209)</f>
        <v/>
      </c>
    </row>
    <row r="210" customFormat="false" ht="15" hidden="false" customHeight="false" outlineLevel="0" collapsed="false">
      <c r="B210" s="38" t="str">
        <f aca="false">IF(Transaksi!C209="","",Transaksi!C209)</f>
        <v/>
      </c>
      <c r="C210" s="39" t="str">
        <f aca="false">IF(Transaksi!C209="","",Transaksi!D209)</f>
        <v/>
      </c>
      <c r="D210" s="40" t="str">
        <f aca="false">IF(Transaksi!C209="","",Transaksi!H209)</f>
        <v/>
      </c>
      <c r="E210" s="39" t="str">
        <f aca="false">IF(Transaksi!C209="","",Transaksi!G209)</f>
        <v/>
      </c>
      <c r="F210" s="36" t="str">
        <f aca="false">IF(Transaksi!C209="","",Transaksi!J209)</f>
        <v/>
      </c>
      <c r="G210" s="36" t="str">
        <f aca="false">IF(Transaksi!C209="","",Transaksi!K209)</f>
        <v/>
      </c>
      <c r="H210" s="36" t="str">
        <f aca="false">IF($B210="","",Pengaturan!$C$10+SUMIFS(Transaksi!$J$6:$J209,Transaksi!$G$6:$G209,Pengaturan!$F$19)-SUMIFS(Transaksi!$K$6:$K209,Transaksi!$G$6:$G209,Pengaturan!$F$19))</f>
        <v/>
      </c>
      <c r="I210" s="36" t="str">
        <f aca="false">IF($B210="","",Pengaturan!$C$11+SUMIFS(Transaksi!$J$6:$J209,Transaksi!$G$6:$G209,Pengaturan!$F$20)-SUMIFS(Transaksi!$K$6:$K209,Transaksi!$G$6:$G209,Pengaturan!$F$20))</f>
        <v/>
      </c>
      <c r="J210" s="41" t="str">
        <f aca="false">IF($B210="","",H210+I210)</f>
        <v/>
      </c>
    </row>
    <row r="211" customFormat="false" ht="15" hidden="false" customHeight="false" outlineLevel="0" collapsed="false">
      <c r="B211" s="38" t="str">
        <f aca="false">IF(Transaksi!C210="","",Transaksi!C210)</f>
        <v/>
      </c>
      <c r="C211" s="39" t="str">
        <f aca="false">IF(Transaksi!C210="","",Transaksi!D210)</f>
        <v/>
      </c>
      <c r="D211" s="40" t="str">
        <f aca="false">IF(Transaksi!C210="","",Transaksi!H210)</f>
        <v/>
      </c>
      <c r="E211" s="39" t="str">
        <f aca="false">IF(Transaksi!C210="","",Transaksi!G210)</f>
        <v/>
      </c>
      <c r="F211" s="36" t="str">
        <f aca="false">IF(Transaksi!C210="","",Transaksi!J210)</f>
        <v/>
      </c>
      <c r="G211" s="36" t="str">
        <f aca="false">IF(Transaksi!C210="","",Transaksi!K210)</f>
        <v/>
      </c>
      <c r="H211" s="36" t="str">
        <f aca="false">IF($B211="","",Pengaturan!$C$10+SUMIFS(Transaksi!$J$6:$J210,Transaksi!$G$6:$G210,Pengaturan!$F$19)-SUMIFS(Transaksi!$K$6:$K210,Transaksi!$G$6:$G210,Pengaturan!$F$19))</f>
        <v/>
      </c>
      <c r="I211" s="36" t="str">
        <f aca="false">IF($B211="","",Pengaturan!$C$11+SUMIFS(Transaksi!$J$6:$J210,Transaksi!$G$6:$G210,Pengaturan!$F$20)-SUMIFS(Transaksi!$K$6:$K210,Transaksi!$G$6:$G210,Pengaturan!$F$20))</f>
        <v/>
      </c>
      <c r="J211" s="41" t="str">
        <f aca="false">IF($B211="","",H211+I211)</f>
        <v/>
      </c>
    </row>
    <row r="212" customFormat="false" ht="15" hidden="false" customHeight="false" outlineLevel="0" collapsed="false">
      <c r="B212" s="38" t="str">
        <f aca="false">IF(Transaksi!C211="","",Transaksi!C211)</f>
        <v/>
      </c>
      <c r="C212" s="39" t="str">
        <f aca="false">IF(Transaksi!C211="","",Transaksi!D211)</f>
        <v/>
      </c>
      <c r="D212" s="40" t="str">
        <f aca="false">IF(Transaksi!C211="","",Transaksi!H211)</f>
        <v/>
      </c>
      <c r="E212" s="39" t="str">
        <f aca="false">IF(Transaksi!C211="","",Transaksi!G211)</f>
        <v/>
      </c>
      <c r="F212" s="36" t="str">
        <f aca="false">IF(Transaksi!C211="","",Transaksi!J211)</f>
        <v/>
      </c>
      <c r="G212" s="36" t="str">
        <f aca="false">IF(Transaksi!C211="","",Transaksi!K211)</f>
        <v/>
      </c>
      <c r="H212" s="36" t="str">
        <f aca="false">IF($B212="","",Pengaturan!$C$10+SUMIFS(Transaksi!$J$6:$J211,Transaksi!$G$6:$G211,Pengaturan!$F$19)-SUMIFS(Transaksi!$K$6:$K211,Transaksi!$G$6:$G211,Pengaturan!$F$19))</f>
        <v/>
      </c>
      <c r="I212" s="36" t="str">
        <f aca="false">IF($B212="","",Pengaturan!$C$11+SUMIFS(Transaksi!$J$6:$J211,Transaksi!$G$6:$G211,Pengaturan!$F$20)-SUMIFS(Transaksi!$K$6:$K211,Transaksi!$G$6:$G211,Pengaturan!$F$20))</f>
        <v/>
      </c>
      <c r="J212" s="41" t="str">
        <f aca="false">IF($B212="","",H212+I212)</f>
        <v/>
      </c>
    </row>
    <row r="213" customFormat="false" ht="15" hidden="false" customHeight="false" outlineLevel="0" collapsed="false">
      <c r="B213" s="38" t="str">
        <f aca="false">IF(Transaksi!C212="","",Transaksi!C212)</f>
        <v/>
      </c>
      <c r="C213" s="39" t="str">
        <f aca="false">IF(Transaksi!C212="","",Transaksi!D212)</f>
        <v/>
      </c>
      <c r="D213" s="40" t="str">
        <f aca="false">IF(Transaksi!C212="","",Transaksi!H212)</f>
        <v/>
      </c>
      <c r="E213" s="39" t="str">
        <f aca="false">IF(Transaksi!C212="","",Transaksi!G212)</f>
        <v/>
      </c>
      <c r="F213" s="36" t="str">
        <f aca="false">IF(Transaksi!C212="","",Transaksi!J212)</f>
        <v/>
      </c>
      <c r="G213" s="36" t="str">
        <f aca="false">IF(Transaksi!C212="","",Transaksi!K212)</f>
        <v/>
      </c>
      <c r="H213" s="36" t="str">
        <f aca="false">IF($B213="","",Pengaturan!$C$10+SUMIFS(Transaksi!$J$6:$J212,Transaksi!$G$6:$G212,Pengaturan!$F$19)-SUMIFS(Transaksi!$K$6:$K212,Transaksi!$G$6:$G212,Pengaturan!$F$19))</f>
        <v/>
      </c>
      <c r="I213" s="36" t="str">
        <f aca="false">IF($B213="","",Pengaturan!$C$11+SUMIFS(Transaksi!$J$6:$J212,Transaksi!$G$6:$G212,Pengaturan!$F$20)-SUMIFS(Transaksi!$K$6:$K212,Transaksi!$G$6:$G212,Pengaturan!$F$20))</f>
        <v/>
      </c>
      <c r="J213" s="41" t="str">
        <f aca="false">IF($B213="","",H213+I213)</f>
        <v/>
      </c>
    </row>
    <row r="214" customFormat="false" ht="15" hidden="false" customHeight="false" outlineLevel="0" collapsed="false">
      <c r="B214" s="38" t="str">
        <f aca="false">IF(Transaksi!C213="","",Transaksi!C213)</f>
        <v/>
      </c>
      <c r="C214" s="39" t="str">
        <f aca="false">IF(Transaksi!C213="","",Transaksi!D213)</f>
        <v/>
      </c>
      <c r="D214" s="40" t="str">
        <f aca="false">IF(Transaksi!C213="","",Transaksi!H213)</f>
        <v/>
      </c>
      <c r="E214" s="39" t="str">
        <f aca="false">IF(Transaksi!C213="","",Transaksi!G213)</f>
        <v/>
      </c>
      <c r="F214" s="36" t="str">
        <f aca="false">IF(Transaksi!C213="","",Transaksi!J213)</f>
        <v/>
      </c>
      <c r="G214" s="36" t="str">
        <f aca="false">IF(Transaksi!C213="","",Transaksi!K213)</f>
        <v/>
      </c>
      <c r="H214" s="36" t="str">
        <f aca="false">IF($B214="","",Pengaturan!$C$10+SUMIFS(Transaksi!$J$6:$J213,Transaksi!$G$6:$G213,Pengaturan!$F$19)-SUMIFS(Transaksi!$K$6:$K213,Transaksi!$G$6:$G213,Pengaturan!$F$19))</f>
        <v/>
      </c>
      <c r="I214" s="36" t="str">
        <f aca="false">IF($B214="","",Pengaturan!$C$11+SUMIFS(Transaksi!$J$6:$J213,Transaksi!$G$6:$G213,Pengaturan!$F$20)-SUMIFS(Transaksi!$K$6:$K213,Transaksi!$G$6:$G213,Pengaturan!$F$20))</f>
        <v/>
      </c>
      <c r="J214" s="41" t="str">
        <f aca="false">IF($B214="","",H214+I214)</f>
        <v/>
      </c>
    </row>
    <row r="215" customFormat="false" ht="15" hidden="false" customHeight="false" outlineLevel="0" collapsed="false">
      <c r="B215" s="38" t="str">
        <f aca="false">IF(Transaksi!C214="","",Transaksi!C214)</f>
        <v/>
      </c>
      <c r="C215" s="39" t="str">
        <f aca="false">IF(Transaksi!C214="","",Transaksi!D214)</f>
        <v/>
      </c>
      <c r="D215" s="40" t="str">
        <f aca="false">IF(Transaksi!C214="","",Transaksi!H214)</f>
        <v/>
      </c>
      <c r="E215" s="39" t="str">
        <f aca="false">IF(Transaksi!C214="","",Transaksi!G214)</f>
        <v/>
      </c>
      <c r="F215" s="36" t="str">
        <f aca="false">IF(Transaksi!C214="","",Transaksi!J214)</f>
        <v/>
      </c>
      <c r="G215" s="36" t="str">
        <f aca="false">IF(Transaksi!C214="","",Transaksi!K214)</f>
        <v/>
      </c>
      <c r="H215" s="36" t="str">
        <f aca="false">IF($B215="","",Pengaturan!$C$10+SUMIFS(Transaksi!$J$6:$J214,Transaksi!$G$6:$G214,Pengaturan!$F$19)-SUMIFS(Transaksi!$K$6:$K214,Transaksi!$G$6:$G214,Pengaturan!$F$19))</f>
        <v/>
      </c>
      <c r="I215" s="36" t="str">
        <f aca="false">IF($B215="","",Pengaturan!$C$11+SUMIFS(Transaksi!$J$6:$J214,Transaksi!$G$6:$G214,Pengaturan!$F$20)-SUMIFS(Transaksi!$K$6:$K214,Transaksi!$G$6:$G214,Pengaturan!$F$20))</f>
        <v/>
      </c>
      <c r="J215" s="41" t="str">
        <f aca="false">IF($B215="","",H215+I215)</f>
        <v/>
      </c>
    </row>
    <row r="216" customFormat="false" ht="15" hidden="false" customHeight="false" outlineLevel="0" collapsed="false">
      <c r="B216" s="38" t="str">
        <f aca="false">IF(Transaksi!C215="","",Transaksi!C215)</f>
        <v/>
      </c>
      <c r="C216" s="39" t="str">
        <f aca="false">IF(Transaksi!C215="","",Transaksi!D215)</f>
        <v/>
      </c>
      <c r="D216" s="40" t="str">
        <f aca="false">IF(Transaksi!C215="","",Transaksi!H215)</f>
        <v/>
      </c>
      <c r="E216" s="39" t="str">
        <f aca="false">IF(Transaksi!C215="","",Transaksi!G215)</f>
        <v/>
      </c>
      <c r="F216" s="36" t="str">
        <f aca="false">IF(Transaksi!C215="","",Transaksi!J215)</f>
        <v/>
      </c>
      <c r="G216" s="36" t="str">
        <f aca="false">IF(Transaksi!C215="","",Transaksi!K215)</f>
        <v/>
      </c>
      <c r="H216" s="36" t="str">
        <f aca="false">IF($B216="","",Pengaturan!$C$10+SUMIFS(Transaksi!$J$6:$J215,Transaksi!$G$6:$G215,Pengaturan!$F$19)-SUMIFS(Transaksi!$K$6:$K215,Transaksi!$G$6:$G215,Pengaturan!$F$19))</f>
        <v/>
      </c>
      <c r="I216" s="36" t="str">
        <f aca="false">IF($B216="","",Pengaturan!$C$11+SUMIFS(Transaksi!$J$6:$J215,Transaksi!$G$6:$G215,Pengaturan!$F$20)-SUMIFS(Transaksi!$K$6:$K215,Transaksi!$G$6:$G215,Pengaturan!$F$20))</f>
        <v/>
      </c>
      <c r="J216" s="41" t="str">
        <f aca="false">IF($B216="","",H216+I216)</f>
        <v/>
      </c>
    </row>
    <row r="217" customFormat="false" ht="15" hidden="false" customHeight="false" outlineLevel="0" collapsed="false">
      <c r="B217" s="38" t="str">
        <f aca="false">IF(Transaksi!C216="","",Transaksi!C216)</f>
        <v/>
      </c>
      <c r="C217" s="39" t="str">
        <f aca="false">IF(Transaksi!C216="","",Transaksi!D216)</f>
        <v/>
      </c>
      <c r="D217" s="40" t="str">
        <f aca="false">IF(Transaksi!C216="","",Transaksi!H216)</f>
        <v/>
      </c>
      <c r="E217" s="39" t="str">
        <f aca="false">IF(Transaksi!C216="","",Transaksi!G216)</f>
        <v/>
      </c>
      <c r="F217" s="36" t="str">
        <f aca="false">IF(Transaksi!C216="","",Transaksi!J216)</f>
        <v/>
      </c>
      <c r="G217" s="36" t="str">
        <f aca="false">IF(Transaksi!C216="","",Transaksi!K216)</f>
        <v/>
      </c>
      <c r="H217" s="36" t="str">
        <f aca="false">IF($B217="","",Pengaturan!$C$10+SUMIFS(Transaksi!$J$6:$J216,Transaksi!$G$6:$G216,Pengaturan!$F$19)-SUMIFS(Transaksi!$K$6:$K216,Transaksi!$G$6:$G216,Pengaturan!$F$19))</f>
        <v/>
      </c>
      <c r="I217" s="36" t="str">
        <f aca="false">IF($B217="","",Pengaturan!$C$11+SUMIFS(Transaksi!$J$6:$J216,Transaksi!$G$6:$G216,Pengaturan!$F$20)-SUMIFS(Transaksi!$K$6:$K216,Transaksi!$G$6:$G216,Pengaturan!$F$20))</f>
        <v/>
      </c>
      <c r="J217" s="41" t="str">
        <f aca="false">IF($B217="","",H217+I217)</f>
        <v/>
      </c>
    </row>
    <row r="218" customFormat="false" ht="15" hidden="false" customHeight="false" outlineLevel="0" collapsed="false">
      <c r="B218" s="38" t="str">
        <f aca="false">IF(Transaksi!C217="","",Transaksi!C217)</f>
        <v/>
      </c>
      <c r="C218" s="39" t="str">
        <f aca="false">IF(Transaksi!C217="","",Transaksi!D217)</f>
        <v/>
      </c>
      <c r="D218" s="40" t="str">
        <f aca="false">IF(Transaksi!C217="","",Transaksi!H217)</f>
        <v/>
      </c>
      <c r="E218" s="39" t="str">
        <f aca="false">IF(Transaksi!C217="","",Transaksi!G217)</f>
        <v/>
      </c>
      <c r="F218" s="36" t="str">
        <f aca="false">IF(Transaksi!C217="","",Transaksi!J217)</f>
        <v/>
      </c>
      <c r="G218" s="36" t="str">
        <f aca="false">IF(Transaksi!C217="","",Transaksi!K217)</f>
        <v/>
      </c>
      <c r="H218" s="36" t="str">
        <f aca="false">IF($B218="","",Pengaturan!$C$10+SUMIFS(Transaksi!$J$6:$J217,Transaksi!$G$6:$G217,Pengaturan!$F$19)-SUMIFS(Transaksi!$K$6:$K217,Transaksi!$G$6:$G217,Pengaturan!$F$19))</f>
        <v/>
      </c>
      <c r="I218" s="36" t="str">
        <f aca="false">IF($B218="","",Pengaturan!$C$11+SUMIFS(Transaksi!$J$6:$J217,Transaksi!$G$6:$G217,Pengaturan!$F$20)-SUMIFS(Transaksi!$K$6:$K217,Transaksi!$G$6:$G217,Pengaturan!$F$20))</f>
        <v/>
      </c>
      <c r="J218" s="41" t="str">
        <f aca="false">IF($B218="","",H218+I218)</f>
        <v/>
      </c>
    </row>
    <row r="219" customFormat="false" ht="15" hidden="false" customHeight="false" outlineLevel="0" collapsed="false">
      <c r="B219" s="38" t="str">
        <f aca="false">IF(Transaksi!C218="","",Transaksi!C218)</f>
        <v/>
      </c>
      <c r="C219" s="39" t="str">
        <f aca="false">IF(Transaksi!C218="","",Transaksi!D218)</f>
        <v/>
      </c>
      <c r="D219" s="40" t="str">
        <f aca="false">IF(Transaksi!C218="","",Transaksi!H218)</f>
        <v/>
      </c>
      <c r="E219" s="39" t="str">
        <f aca="false">IF(Transaksi!C218="","",Transaksi!G218)</f>
        <v/>
      </c>
      <c r="F219" s="36" t="str">
        <f aca="false">IF(Transaksi!C218="","",Transaksi!J218)</f>
        <v/>
      </c>
      <c r="G219" s="36" t="str">
        <f aca="false">IF(Transaksi!C218="","",Transaksi!K218)</f>
        <v/>
      </c>
      <c r="H219" s="36" t="str">
        <f aca="false">IF($B219="","",Pengaturan!$C$10+SUMIFS(Transaksi!$J$6:$J218,Transaksi!$G$6:$G218,Pengaturan!$F$19)-SUMIFS(Transaksi!$K$6:$K218,Transaksi!$G$6:$G218,Pengaturan!$F$19))</f>
        <v/>
      </c>
      <c r="I219" s="36" t="str">
        <f aca="false">IF($B219="","",Pengaturan!$C$11+SUMIFS(Transaksi!$J$6:$J218,Transaksi!$G$6:$G218,Pengaturan!$F$20)-SUMIFS(Transaksi!$K$6:$K218,Transaksi!$G$6:$G218,Pengaturan!$F$20))</f>
        <v/>
      </c>
      <c r="J219" s="41" t="str">
        <f aca="false">IF($B219="","",H219+I219)</f>
        <v/>
      </c>
    </row>
    <row r="220" customFormat="false" ht="15" hidden="false" customHeight="false" outlineLevel="0" collapsed="false">
      <c r="B220" s="38" t="str">
        <f aca="false">IF(Transaksi!C219="","",Transaksi!C219)</f>
        <v/>
      </c>
      <c r="C220" s="39" t="str">
        <f aca="false">IF(Transaksi!C219="","",Transaksi!D219)</f>
        <v/>
      </c>
      <c r="D220" s="40" t="str">
        <f aca="false">IF(Transaksi!C219="","",Transaksi!H219)</f>
        <v/>
      </c>
      <c r="E220" s="39" t="str">
        <f aca="false">IF(Transaksi!C219="","",Transaksi!G219)</f>
        <v/>
      </c>
      <c r="F220" s="36" t="str">
        <f aca="false">IF(Transaksi!C219="","",Transaksi!J219)</f>
        <v/>
      </c>
      <c r="G220" s="36" t="str">
        <f aca="false">IF(Transaksi!C219="","",Transaksi!K219)</f>
        <v/>
      </c>
      <c r="H220" s="36" t="str">
        <f aca="false">IF($B220="","",Pengaturan!$C$10+SUMIFS(Transaksi!$J$6:$J219,Transaksi!$G$6:$G219,Pengaturan!$F$19)-SUMIFS(Transaksi!$K$6:$K219,Transaksi!$G$6:$G219,Pengaturan!$F$19))</f>
        <v/>
      </c>
      <c r="I220" s="36" t="str">
        <f aca="false">IF($B220="","",Pengaturan!$C$11+SUMIFS(Transaksi!$J$6:$J219,Transaksi!$G$6:$G219,Pengaturan!$F$20)-SUMIFS(Transaksi!$K$6:$K219,Transaksi!$G$6:$G219,Pengaturan!$F$20))</f>
        <v/>
      </c>
      <c r="J220" s="41" t="str">
        <f aca="false">IF($B220="","",H220+I220)</f>
        <v/>
      </c>
    </row>
    <row r="221" customFormat="false" ht="15" hidden="false" customHeight="false" outlineLevel="0" collapsed="false">
      <c r="B221" s="38" t="str">
        <f aca="false">IF(Transaksi!C220="","",Transaksi!C220)</f>
        <v/>
      </c>
      <c r="C221" s="39" t="str">
        <f aca="false">IF(Transaksi!C220="","",Transaksi!D220)</f>
        <v/>
      </c>
      <c r="D221" s="40" t="str">
        <f aca="false">IF(Transaksi!C220="","",Transaksi!H220)</f>
        <v/>
      </c>
      <c r="E221" s="39" t="str">
        <f aca="false">IF(Transaksi!C220="","",Transaksi!G220)</f>
        <v/>
      </c>
      <c r="F221" s="36" t="str">
        <f aca="false">IF(Transaksi!C220="","",Transaksi!J220)</f>
        <v/>
      </c>
      <c r="G221" s="36" t="str">
        <f aca="false">IF(Transaksi!C220="","",Transaksi!K220)</f>
        <v/>
      </c>
      <c r="H221" s="36" t="str">
        <f aca="false">IF($B221="","",Pengaturan!$C$10+SUMIFS(Transaksi!$J$6:$J220,Transaksi!$G$6:$G220,Pengaturan!$F$19)-SUMIFS(Transaksi!$K$6:$K220,Transaksi!$G$6:$G220,Pengaturan!$F$19))</f>
        <v/>
      </c>
      <c r="I221" s="36" t="str">
        <f aca="false">IF($B221="","",Pengaturan!$C$11+SUMIFS(Transaksi!$J$6:$J220,Transaksi!$G$6:$G220,Pengaturan!$F$20)-SUMIFS(Transaksi!$K$6:$K220,Transaksi!$G$6:$G220,Pengaturan!$F$20))</f>
        <v/>
      </c>
      <c r="J221" s="41" t="str">
        <f aca="false">IF($B221="","",H221+I221)</f>
        <v/>
      </c>
    </row>
    <row r="222" customFormat="false" ht="15" hidden="false" customHeight="false" outlineLevel="0" collapsed="false">
      <c r="B222" s="38" t="str">
        <f aca="false">IF(Transaksi!C221="","",Transaksi!C221)</f>
        <v/>
      </c>
      <c r="C222" s="39" t="str">
        <f aca="false">IF(Transaksi!C221="","",Transaksi!D221)</f>
        <v/>
      </c>
      <c r="D222" s="40" t="str">
        <f aca="false">IF(Transaksi!C221="","",Transaksi!H221)</f>
        <v/>
      </c>
      <c r="E222" s="39" t="str">
        <f aca="false">IF(Transaksi!C221="","",Transaksi!G221)</f>
        <v/>
      </c>
      <c r="F222" s="36" t="str">
        <f aca="false">IF(Transaksi!C221="","",Transaksi!J221)</f>
        <v/>
      </c>
      <c r="G222" s="36" t="str">
        <f aca="false">IF(Transaksi!C221="","",Transaksi!K221)</f>
        <v/>
      </c>
      <c r="H222" s="36" t="str">
        <f aca="false">IF($B222="","",Pengaturan!$C$10+SUMIFS(Transaksi!$J$6:$J221,Transaksi!$G$6:$G221,Pengaturan!$F$19)-SUMIFS(Transaksi!$K$6:$K221,Transaksi!$G$6:$G221,Pengaturan!$F$19))</f>
        <v/>
      </c>
      <c r="I222" s="36" t="str">
        <f aca="false">IF($B222="","",Pengaturan!$C$11+SUMIFS(Transaksi!$J$6:$J221,Transaksi!$G$6:$G221,Pengaturan!$F$20)-SUMIFS(Transaksi!$K$6:$K221,Transaksi!$G$6:$G221,Pengaturan!$F$20))</f>
        <v/>
      </c>
      <c r="J222" s="41" t="str">
        <f aca="false">IF($B222="","",H222+I222)</f>
        <v/>
      </c>
    </row>
    <row r="223" customFormat="false" ht="15" hidden="false" customHeight="false" outlineLevel="0" collapsed="false">
      <c r="B223" s="38" t="str">
        <f aca="false">IF(Transaksi!C222="","",Transaksi!C222)</f>
        <v/>
      </c>
      <c r="C223" s="39" t="str">
        <f aca="false">IF(Transaksi!C222="","",Transaksi!D222)</f>
        <v/>
      </c>
      <c r="D223" s="40" t="str">
        <f aca="false">IF(Transaksi!C222="","",Transaksi!H222)</f>
        <v/>
      </c>
      <c r="E223" s="39" t="str">
        <f aca="false">IF(Transaksi!C222="","",Transaksi!G222)</f>
        <v/>
      </c>
      <c r="F223" s="36" t="str">
        <f aca="false">IF(Transaksi!C222="","",Transaksi!J222)</f>
        <v/>
      </c>
      <c r="G223" s="36" t="str">
        <f aca="false">IF(Transaksi!C222="","",Transaksi!K222)</f>
        <v/>
      </c>
      <c r="H223" s="36" t="str">
        <f aca="false">IF($B223="","",Pengaturan!$C$10+SUMIFS(Transaksi!$J$6:$J222,Transaksi!$G$6:$G222,Pengaturan!$F$19)-SUMIFS(Transaksi!$K$6:$K222,Transaksi!$G$6:$G222,Pengaturan!$F$19))</f>
        <v/>
      </c>
      <c r="I223" s="36" t="str">
        <f aca="false">IF($B223="","",Pengaturan!$C$11+SUMIFS(Transaksi!$J$6:$J222,Transaksi!$G$6:$G222,Pengaturan!$F$20)-SUMIFS(Transaksi!$K$6:$K222,Transaksi!$G$6:$G222,Pengaturan!$F$20))</f>
        <v/>
      </c>
      <c r="J223" s="41" t="str">
        <f aca="false">IF($B223="","",H223+I223)</f>
        <v/>
      </c>
    </row>
    <row r="224" customFormat="false" ht="15" hidden="false" customHeight="false" outlineLevel="0" collapsed="false">
      <c r="B224" s="38" t="str">
        <f aca="false">IF(Transaksi!C223="","",Transaksi!C223)</f>
        <v/>
      </c>
      <c r="C224" s="39" t="str">
        <f aca="false">IF(Transaksi!C223="","",Transaksi!D223)</f>
        <v/>
      </c>
      <c r="D224" s="40" t="str">
        <f aca="false">IF(Transaksi!C223="","",Transaksi!H223)</f>
        <v/>
      </c>
      <c r="E224" s="39" t="str">
        <f aca="false">IF(Transaksi!C223="","",Transaksi!G223)</f>
        <v/>
      </c>
      <c r="F224" s="36" t="str">
        <f aca="false">IF(Transaksi!C223="","",Transaksi!J223)</f>
        <v/>
      </c>
      <c r="G224" s="36" t="str">
        <f aca="false">IF(Transaksi!C223="","",Transaksi!K223)</f>
        <v/>
      </c>
      <c r="H224" s="36" t="str">
        <f aca="false">IF($B224="","",Pengaturan!$C$10+SUMIFS(Transaksi!$J$6:$J223,Transaksi!$G$6:$G223,Pengaturan!$F$19)-SUMIFS(Transaksi!$K$6:$K223,Transaksi!$G$6:$G223,Pengaturan!$F$19))</f>
        <v/>
      </c>
      <c r="I224" s="36" t="str">
        <f aca="false">IF($B224="","",Pengaturan!$C$11+SUMIFS(Transaksi!$J$6:$J223,Transaksi!$G$6:$G223,Pengaturan!$F$20)-SUMIFS(Transaksi!$K$6:$K223,Transaksi!$G$6:$G223,Pengaturan!$F$20))</f>
        <v/>
      </c>
      <c r="J224" s="41" t="str">
        <f aca="false">IF($B224="","",H224+I224)</f>
        <v/>
      </c>
    </row>
    <row r="225" customFormat="false" ht="15" hidden="false" customHeight="false" outlineLevel="0" collapsed="false">
      <c r="B225" s="38" t="str">
        <f aca="false">IF(Transaksi!C224="","",Transaksi!C224)</f>
        <v/>
      </c>
      <c r="C225" s="39" t="str">
        <f aca="false">IF(Transaksi!C224="","",Transaksi!D224)</f>
        <v/>
      </c>
      <c r="D225" s="40" t="str">
        <f aca="false">IF(Transaksi!C224="","",Transaksi!H224)</f>
        <v/>
      </c>
      <c r="E225" s="39" t="str">
        <f aca="false">IF(Transaksi!C224="","",Transaksi!G224)</f>
        <v/>
      </c>
      <c r="F225" s="36" t="str">
        <f aca="false">IF(Transaksi!C224="","",Transaksi!J224)</f>
        <v/>
      </c>
      <c r="G225" s="36" t="str">
        <f aca="false">IF(Transaksi!C224="","",Transaksi!K224)</f>
        <v/>
      </c>
      <c r="H225" s="36" t="str">
        <f aca="false">IF($B225="","",Pengaturan!$C$10+SUMIFS(Transaksi!$J$6:$J224,Transaksi!$G$6:$G224,Pengaturan!$F$19)-SUMIFS(Transaksi!$K$6:$K224,Transaksi!$G$6:$G224,Pengaturan!$F$19))</f>
        <v/>
      </c>
      <c r="I225" s="36" t="str">
        <f aca="false">IF($B225="","",Pengaturan!$C$11+SUMIFS(Transaksi!$J$6:$J224,Transaksi!$G$6:$G224,Pengaturan!$F$20)-SUMIFS(Transaksi!$K$6:$K224,Transaksi!$G$6:$G224,Pengaturan!$F$20))</f>
        <v/>
      </c>
      <c r="J225" s="41" t="str">
        <f aca="false">IF($B225="","",H225+I225)</f>
        <v/>
      </c>
    </row>
    <row r="226" customFormat="false" ht="15" hidden="false" customHeight="false" outlineLevel="0" collapsed="false">
      <c r="B226" s="38" t="str">
        <f aca="false">IF(Transaksi!C225="","",Transaksi!C225)</f>
        <v/>
      </c>
      <c r="C226" s="39" t="str">
        <f aca="false">IF(Transaksi!C225="","",Transaksi!D225)</f>
        <v/>
      </c>
      <c r="D226" s="40" t="str">
        <f aca="false">IF(Transaksi!C225="","",Transaksi!H225)</f>
        <v/>
      </c>
      <c r="E226" s="39" t="str">
        <f aca="false">IF(Transaksi!C225="","",Transaksi!G225)</f>
        <v/>
      </c>
      <c r="F226" s="36" t="str">
        <f aca="false">IF(Transaksi!C225="","",Transaksi!J225)</f>
        <v/>
      </c>
      <c r="G226" s="36" t="str">
        <f aca="false">IF(Transaksi!C225="","",Transaksi!K225)</f>
        <v/>
      </c>
      <c r="H226" s="36" t="str">
        <f aca="false">IF($B226="","",Pengaturan!$C$10+SUMIFS(Transaksi!$J$6:$J225,Transaksi!$G$6:$G225,Pengaturan!$F$19)-SUMIFS(Transaksi!$K$6:$K225,Transaksi!$G$6:$G225,Pengaturan!$F$19))</f>
        <v/>
      </c>
      <c r="I226" s="36" t="str">
        <f aca="false">IF($B226="","",Pengaturan!$C$11+SUMIFS(Transaksi!$J$6:$J225,Transaksi!$G$6:$G225,Pengaturan!$F$20)-SUMIFS(Transaksi!$K$6:$K225,Transaksi!$G$6:$G225,Pengaturan!$F$20))</f>
        <v/>
      </c>
      <c r="J226" s="41" t="str">
        <f aca="false">IF($B226="","",H226+I226)</f>
        <v/>
      </c>
    </row>
    <row r="227" customFormat="false" ht="15" hidden="false" customHeight="false" outlineLevel="0" collapsed="false">
      <c r="B227" s="38" t="str">
        <f aca="false">IF(Transaksi!C226="","",Transaksi!C226)</f>
        <v/>
      </c>
      <c r="C227" s="39" t="str">
        <f aca="false">IF(Transaksi!C226="","",Transaksi!D226)</f>
        <v/>
      </c>
      <c r="D227" s="40" t="str">
        <f aca="false">IF(Transaksi!C226="","",Transaksi!H226)</f>
        <v/>
      </c>
      <c r="E227" s="39" t="str">
        <f aca="false">IF(Transaksi!C226="","",Transaksi!G226)</f>
        <v/>
      </c>
      <c r="F227" s="36" t="str">
        <f aca="false">IF(Transaksi!C226="","",Transaksi!J226)</f>
        <v/>
      </c>
      <c r="G227" s="36" t="str">
        <f aca="false">IF(Transaksi!C226="","",Transaksi!K226)</f>
        <v/>
      </c>
      <c r="H227" s="36" t="str">
        <f aca="false">IF($B227="","",Pengaturan!$C$10+SUMIFS(Transaksi!$J$6:$J226,Transaksi!$G$6:$G226,Pengaturan!$F$19)-SUMIFS(Transaksi!$K$6:$K226,Transaksi!$G$6:$G226,Pengaturan!$F$19))</f>
        <v/>
      </c>
      <c r="I227" s="36" t="str">
        <f aca="false">IF($B227="","",Pengaturan!$C$11+SUMIFS(Transaksi!$J$6:$J226,Transaksi!$G$6:$G226,Pengaturan!$F$20)-SUMIFS(Transaksi!$K$6:$K226,Transaksi!$G$6:$G226,Pengaturan!$F$20))</f>
        <v/>
      </c>
      <c r="J227" s="41" t="str">
        <f aca="false">IF($B227="","",H227+I227)</f>
        <v/>
      </c>
    </row>
    <row r="228" customFormat="false" ht="15" hidden="false" customHeight="false" outlineLevel="0" collapsed="false">
      <c r="B228" s="38" t="str">
        <f aca="false">IF(Transaksi!C227="","",Transaksi!C227)</f>
        <v/>
      </c>
      <c r="C228" s="39" t="str">
        <f aca="false">IF(Transaksi!C227="","",Transaksi!D227)</f>
        <v/>
      </c>
      <c r="D228" s="40" t="str">
        <f aca="false">IF(Transaksi!C227="","",Transaksi!H227)</f>
        <v/>
      </c>
      <c r="E228" s="39" t="str">
        <f aca="false">IF(Transaksi!C227="","",Transaksi!G227)</f>
        <v/>
      </c>
      <c r="F228" s="36" t="str">
        <f aca="false">IF(Transaksi!C227="","",Transaksi!J227)</f>
        <v/>
      </c>
      <c r="G228" s="36" t="str">
        <f aca="false">IF(Transaksi!C227="","",Transaksi!K227)</f>
        <v/>
      </c>
      <c r="H228" s="36" t="str">
        <f aca="false">IF($B228="","",Pengaturan!$C$10+SUMIFS(Transaksi!$J$6:$J227,Transaksi!$G$6:$G227,Pengaturan!$F$19)-SUMIFS(Transaksi!$K$6:$K227,Transaksi!$G$6:$G227,Pengaturan!$F$19))</f>
        <v/>
      </c>
      <c r="I228" s="36" t="str">
        <f aca="false">IF($B228="","",Pengaturan!$C$11+SUMIFS(Transaksi!$J$6:$J227,Transaksi!$G$6:$G227,Pengaturan!$F$20)-SUMIFS(Transaksi!$K$6:$K227,Transaksi!$G$6:$G227,Pengaturan!$F$20))</f>
        <v/>
      </c>
      <c r="J228" s="41" t="str">
        <f aca="false">IF($B228="","",H228+I228)</f>
        <v/>
      </c>
    </row>
    <row r="229" customFormat="false" ht="15" hidden="false" customHeight="false" outlineLevel="0" collapsed="false">
      <c r="B229" s="38" t="str">
        <f aca="false">IF(Transaksi!C228="","",Transaksi!C228)</f>
        <v/>
      </c>
      <c r="C229" s="39" t="str">
        <f aca="false">IF(Transaksi!C228="","",Transaksi!D228)</f>
        <v/>
      </c>
      <c r="D229" s="40" t="str">
        <f aca="false">IF(Transaksi!C228="","",Transaksi!H228)</f>
        <v/>
      </c>
      <c r="E229" s="39" t="str">
        <f aca="false">IF(Transaksi!C228="","",Transaksi!G228)</f>
        <v/>
      </c>
      <c r="F229" s="36" t="str">
        <f aca="false">IF(Transaksi!C228="","",Transaksi!J228)</f>
        <v/>
      </c>
      <c r="G229" s="36" t="str">
        <f aca="false">IF(Transaksi!C228="","",Transaksi!K228)</f>
        <v/>
      </c>
      <c r="H229" s="36" t="str">
        <f aca="false">IF($B229="","",Pengaturan!$C$10+SUMIFS(Transaksi!$J$6:$J228,Transaksi!$G$6:$G228,Pengaturan!$F$19)-SUMIFS(Transaksi!$K$6:$K228,Transaksi!$G$6:$G228,Pengaturan!$F$19))</f>
        <v/>
      </c>
      <c r="I229" s="36" t="str">
        <f aca="false">IF($B229="","",Pengaturan!$C$11+SUMIFS(Transaksi!$J$6:$J228,Transaksi!$G$6:$G228,Pengaturan!$F$20)-SUMIFS(Transaksi!$K$6:$K228,Transaksi!$G$6:$G228,Pengaturan!$F$20))</f>
        <v/>
      </c>
      <c r="J229" s="41" t="str">
        <f aca="false">IF($B229="","",H229+I229)</f>
        <v/>
      </c>
    </row>
    <row r="230" customFormat="false" ht="15" hidden="false" customHeight="false" outlineLevel="0" collapsed="false">
      <c r="B230" s="38" t="str">
        <f aca="false">IF(Transaksi!C229="","",Transaksi!C229)</f>
        <v/>
      </c>
      <c r="C230" s="39" t="str">
        <f aca="false">IF(Transaksi!C229="","",Transaksi!D229)</f>
        <v/>
      </c>
      <c r="D230" s="40" t="str">
        <f aca="false">IF(Transaksi!C229="","",Transaksi!H229)</f>
        <v/>
      </c>
      <c r="E230" s="39" t="str">
        <f aca="false">IF(Transaksi!C229="","",Transaksi!G229)</f>
        <v/>
      </c>
      <c r="F230" s="36" t="str">
        <f aca="false">IF(Transaksi!C229="","",Transaksi!J229)</f>
        <v/>
      </c>
      <c r="G230" s="36" t="str">
        <f aca="false">IF(Transaksi!C229="","",Transaksi!K229)</f>
        <v/>
      </c>
      <c r="H230" s="36" t="str">
        <f aca="false">IF($B230="","",Pengaturan!$C$10+SUMIFS(Transaksi!$J$6:$J229,Transaksi!$G$6:$G229,Pengaturan!$F$19)-SUMIFS(Transaksi!$K$6:$K229,Transaksi!$G$6:$G229,Pengaturan!$F$19))</f>
        <v/>
      </c>
      <c r="I230" s="36" t="str">
        <f aca="false">IF($B230="","",Pengaturan!$C$11+SUMIFS(Transaksi!$J$6:$J229,Transaksi!$G$6:$G229,Pengaturan!$F$20)-SUMIFS(Transaksi!$K$6:$K229,Transaksi!$G$6:$G229,Pengaturan!$F$20))</f>
        <v/>
      </c>
      <c r="J230" s="41" t="str">
        <f aca="false">IF($B230="","",H230+I230)</f>
        <v/>
      </c>
    </row>
    <row r="231" customFormat="false" ht="15" hidden="false" customHeight="false" outlineLevel="0" collapsed="false">
      <c r="B231" s="38" t="str">
        <f aca="false">IF(Transaksi!C230="","",Transaksi!C230)</f>
        <v/>
      </c>
      <c r="C231" s="39" t="str">
        <f aca="false">IF(Transaksi!C230="","",Transaksi!D230)</f>
        <v/>
      </c>
      <c r="D231" s="40" t="str">
        <f aca="false">IF(Transaksi!C230="","",Transaksi!H230)</f>
        <v/>
      </c>
      <c r="E231" s="39" t="str">
        <f aca="false">IF(Transaksi!C230="","",Transaksi!G230)</f>
        <v/>
      </c>
      <c r="F231" s="36" t="str">
        <f aca="false">IF(Transaksi!C230="","",Transaksi!J230)</f>
        <v/>
      </c>
      <c r="G231" s="36" t="str">
        <f aca="false">IF(Transaksi!C230="","",Transaksi!K230)</f>
        <v/>
      </c>
      <c r="H231" s="36" t="str">
        <f aca="false">IF($B231="","",Pengaturan!$C$10+SUMIFS(Transaksi!$J$6:$J230,Transaksi!$G$6:$G230,Pengaturan!$F$19)-SUMIFS(Transaksi!$K$6:$K230,Transaksi!$G$6:$G230,Pengaturan!$F$19))</f>
        <v/>
      </c>
      <c r="I231" s="36" t="str">
        <f aca="false">IF($B231="","",Pengaturan!$C$11+SUMIFS(Transaksi!$J$6:$J230,Transaksi!$G$6:$G230,Pengaturan!$F$20)-SUMIFS(Transaksi!$K$6:$K230,Transaksi!$G$6:$G230,Pengaturan!$F$20))</f>
        <v/>
      </c>
      <c r="J231" s="41" t="str">
        <f aca="false">IF($B231="","",H231+I231)</f>
        <v/>
      </c>
    </row>
    <row r="232" customFormat="false" ht="15" hidden="false" customHeight="false" outlineLevel="0" collapsed="false">
      <c r="B232" s="38" t="str">
        <f aca="false">IF(Transaksi!C231="","",Transaksi!C231)</f>
        <v/>
      </c>
      <c r="C232" s="39" t="str">
        <f aca="false">IF(Transaksi!C231="","",Transaksi!D231)</f>
        <v/>
      </c>
      <c r="D232" s="40" t="str">
        <f aca="false">IF(Transaksi!C231="","",Transaksi!H231)</f>
        <v/>
      </c>
      <c r="E232" s="39" t="str">
        <f aca="false">IF(Transaksi!C231="","",Transaksi!G231)</f>
        <v/>
      </c>
      <c r="F232" s="36" t="str">
        <f aca="false">IF(Transaksi!C231="","",Transaksi!J231)</f>
        <v/>
      </c>
      <c r="G232" s="36" t="str">
        <f aca="false">IF(Transaksi!C231="","",Transaksi!K231)</f>
        <v/>
      </c>
      <c r="H232" s="36" t="str">
        <f aca="false">IF($B232="","",Pengaturan!$C$10+SUMIFS(Transaksi!$J$6:$J231,Transaksi!$G$6:$G231,Pengaturan!$F$19)-SUMIFS(Transaksi!$K$6:$K231,Transaksi!$G$6:$G231,Pengaturan!$F$19))</f>
        <v/>
      </c>
      <c r="I232" s="36" t="str">
        <f aca="false">IF($B232="","",Pengaturan!$C$11+SUMIFS(Transaksi!$J$6:$J231,Transaksi!$G$6:$G231,Pengaturan!$F$20)-SUMIFS(Transaksi!$K$6:$K231,Transaksi!$G$6:$G231,Pengaturan!$F$20))</f>
        <v/>
      </c>
      <c r="J232" s="41" t="str">
        <f aca="false">IF($B232="","",H232+I232)</f>
        <v/>
      </c>
    </row>
    <row r="233" customFormat="false" ht="15" hidden="false" customHeight="false" outlineLevel="0" collapsed="false">
      <c r="B233" s="38" t="str">
        <f aca="false">IF(Transaksi!C232="","",Transaksi!C232)</f>
        <v/>
      </c>
      <c r="C233" s="39" t="str">
        <f aca="false">IF(Transaksi!C232="","",Transaksi!D232)</f>
        <v/>
      </c>
      <c r="D233" s="40" t="str">
        <f aca="false">IF(Transaksi!C232="","",Transaksi!H232)</f>
        <v/>
      </c>
      <c r="E233" s="39" t="str">
        <f aca="false">IF(Transaksi!C232="","",Transaksi!G232)</f>
        <v/>
      </c>
      <c r="F233" s="36" t="str">
        <f aca="false">IF(Transaksi!C232="","",Transaksi!J232)</f>
        <v/>
      </c>
      <c r="G233" s="36" t="str">
        <f aca="false">IF(Transaksi!C232="","",Transaksi!K232)</f>
        <v/>
      </c>
      <c r="H233" s="36" t="str">
        <f aca="false">IF($B233="","",Pengaturan!$C$10+SUMIFS(Transaksi!$J$6:$J232,Transaksi!$G$6:$G232,Pengaturan!$F$19)-SUMIFS(Transaksi!$K$6:$K232,Transaksi!$G$6:$G232,Pengaturan!$F$19))</f>
        <v/>
      </c>
      <c r="I233" s="36" t="str">
        <f aca="false">IF($B233="","",Pengaturan!$C$11+SUMIFS(Transaksi!$J$6:$J232,Transaksi!$G$6:$G232,Pengaturan!$F$20)-SUMIFS(Transaksi!$K$6:$K232,Transaksi!$G$6:$G232,Pengaturan!$F$20))</f>
        <v/>
      </c>
      <c r="J233" s="41" t="str">
        <f aca="false">IF($B233="","",H233+I233)</f>
        <v/>
      </c>
    </row>
    <row r="234" customFormat="false" ht="15" hidden="false" customHeight="false" outlineLevel="0" collapsed="false">
      <c r="B234" s="38" t="str">
        <f aca="false">IF(Transaksi!C233="","",Transaksi!C233)</f>
        <v/>
      </c>
      <c r="C234" s="39" t="str">
        <f aca="false">IF(Transaksi!C233="","",Transaksi!D233)</f>
        <v/>
      </c>
      <c r="D234" s="40" t="str">
        <f aca="false">IF(Transaksi!C233="","",Transaksi!H233)</f>
        <v/>
      </c>
      <c r="E234" s="39" t="str">
        <f aca="false">IF(Transaksi!C233="","",Transaksi!G233)</f>
        <v/>
      </c>
      <c r="F234" s="36" t="str">
        <f aca="false">IF(Transaksi!C233="","",Transaksi!J233)</f>
        <v/>
      </c>
      <c r="G234" s="36" t="str">
        <f aca="false">IF(Transaksi!C233="","",Transaksi!K233)</f>
        <v/>
      </c>
      <c r="H234" s="36" t="str">
        <f aca="false">IF($B234="","",Pengaturan!$C$10+SUMIFS(Transaksi!$J$6:$J233,Transaksi!$G$6:$G233,Pengaturan!$F$19)-SUMIFS(Transaksi!$K$6:$K233,Transaksi!$G$6:$G233,Pengaturan!$F$19))</f>
        <v/>
      </c>
      <c r="I234" s="36" t="str">
        <f aca="false">IF($B234="","",Pengaturan!$C$11+SUMIFS(Transaksi!$J$6:$J233,Transaksi!$G$6:$G233,Pengaturan!$F$20)-SUMIFS(Transaksi!$K$6:$K233,Transaksi!$G$6:$G233,Pengaturan!$F$20))</f>
        <v/>
      </c>
      <c r="J234" s="41" t="str">
        <f aca="false">IF($B234="","",H234+I234)</f>
        <v/>
      </c>
    </row>
    <row r="235" customFormat="false" ht="15" hidden="false" customHeight="false" outlineLevel="0" collapsed="false">
      <c r="B235" s="38" t="str">
        <f aca="false">IF(Transaksi!C234="","",Transaksi!C234)</f>
        <v/>
      </c>
      <c r="C235" s="39" t="str">
        <f aca="false">IF(Transaksi!C234="","",Transaksi!D234)</f>
        <v/>
      </c>
      <c r="D235" s="40" t="str">
        <f aca="false">IF(Transaksi!C234="","",Transaksi!H234)</f>
        <v/>
      </c>
      <c r="E235" s="39" t="str">
        <f aca="false">IF(Transaksi!C234="","",Transaksi!G234)</f>
        <v/>
      </c>
      <c r="F235" s="36" t="str">
        <f aca="false">IF(Transaksi!C234="","",Transaksi!J234)</f>
        <v/>
      </c>
      <c r="G235" s="36" t="str">
        <f aca="false">IF(Transaksi!C234="","",Transaksi!K234)</f>
        <v/>
      </c>
      <c r="H235" s="36" t="str">
        <f aca="false">IF($B235="","",Pengaturan!$C$10+SUMIFS(Transaksi!$J$6:$J234,Transaksi!$G$6:$G234,Pengaturan!$F$19)-SUMIFS(Transaksi!$K$6:$K234,Transaksi!$G$6:$G234,Pengaturan!$F$19))</f>
        <v/>
      </c>
      <c r="I235" s="36" t="str">
        <f aca="false">IF($B235="","",Pengaturan!$C$11+SUMIFS(Transaksi!$J$6:$J234,Transaksi!$G$6:$G234,Pengaturan!$F$20)-SUMIFS(Transaksi!$K$6:$K234,Transaksi!$G$6:$G234,Pengaturan!$F$20))</f>
        <v/>
      </c>
      <c r="J235" s="41" t="str">
        <f aca="false">IF($B235="","",H235+I235)</f>
        <v/>
      </c>
    </row>
    <row r="236" customFormat="false" ht="15" hidden="false" customHeight="false" outlineLevel="0" collapsed="false">
      <c r="B236" s="38" t="str">
        <f aca="false">IF(Transaksi!C235="","",Transaksi!C235)</f>
        <v/>
      </c>
      <c r="C236" s="39" t="str">
        <f aca="false">IF(Transaksi!C235="","",Transaksi!D235)</f>
        <v/>
      </c>
      <c r="D236" s="40" t="str">
        <f aca="false">IF(Transaksi!C235="","",Transaksi!H235)</f>
        <v/>
      </c>
      <c r="E236" s="39" t="str">
        <f aca="false">IF(Transaksi!C235="","",Transaksi!G235)</f>
        <v/>
      </c>
      <c r="F236" s="36" t="str">
        <f aca="false">IF(Transaksi!C235="","",Transaksi!J235)</f>
        <v/>
      </c>
      <c r="G236" s="36" t="str">
        <f aca="false">IF(Transaksi!C235="","",Transaksi!K235)</f>
        <v/>
      </c>
      <c r="H236" s="36" t="str">
        <f aca="false">IF($B236="","",Pengaturan!$C$10+SUMIFS(Transaksi!$J$6:$J235,Transaksi!$G$6:$G235,Pengaturan!$F$19)-SUMIFS(Transaksi!$K$6:$K235,Transaksi!$G$6:$G235,Pengaturan!$F$19))</f>
        <v/>
      </c>
      <c r="I236" s="36" t="str">
        <f aca="false">IF($B236="","",Pengaturan!$C$11+SUMIFS(Transaksi!$J$6:$J235,Transaksi!$G$6:$G235,Pengaturan!$F$20)-SUMIFS(Transaksi!$K$6:$K235,Transaksi!$G$6:$G235,Pengaturan!$F$20))</f>
        <v/>
      </c>
      <c r="J236" s="41" t="str">
        <f aca="false">IF($B236="","",H236+I236)</f>
        <v/>
      </c>
    </row>
    <row r="237" customFormat="false" ht="15" hidden="false" customHeight="false" outlineLevel="0" collapsed="false">
      <c r="B237" s="38" t="str">
        <f aca="false">IF(Transaksi!C236="","",Transaksi!C236)</f>
        <v/>
      </c>
      <c r="C237" s="39" t="str">
        <f aca="false">IF(Transaksi!C236="","",Transaksi!D236)</f>
        <v/>
      </c>
      <c r="D237" s="40" t="str">
        <f aca="false">IF(Transaksi!C236="","",Transaksi!H236)</f>
        <v/>
      </c>
      <c r="E237" s="39" t="str">
        <f aca="false">IF(Transaksi!C236="","",Transaksi!G236)</f>
        <v/>
      </c>
      <c r="F237" s="36" t="str">
        <f aca="false">IF(Transaksi!C236="","",Transaksi!J236)</f>
        <v/>
      </c>
      <c r="G237" s="36" t="str">
        <f aca="false">IF(Transaksi!C236="","",Transaksi!K236)</f>
        <v/>
      </c>
      <c r="H237" s="36" t="str">
        <f aca="false">IF($B237="","",Pengaturan!$C$10+SUMIFS(Transaksi!$J$6:$J236,Transaksi!$G$6:$G236,Pengaturan!$F$19)-SUMIFS(Transaksi!$K$6:$K236,Transaksi!$G$6:$G236,Pengaturan!$F$19))</f>
        <v/>
      </c>
      <c r="I237" s="36" t="str">
        <f aca="false">IF($B237="","",Pengaturan!$C$11+SUMIFS(Transaksi!$J$6:$J236,Transaksi!$G$6:$G236,Pengaturan!$F$20)-SUMIFS(Transaksi!$K$6:$K236,Transaksi!$G$6:$G236,Pengaturan!$F$20))</f>
        <v/>
      </c>
      <c r="J237" s="41" t="str">
        <f aca="false">IF($B237="","",H237+I237)</f>
        <v/>
      </c>
    </row>
    <row r="238" customFormat="false" ht="15" hidden="false" customHeight="false" outlineLevel="0" collapsed="false">
      <c r="B238" s="38" t="str">
        <f aca="false">IF(Transaksi!C237="","",Transaksi!C237)</f>
        <v/>
      </c>
      <c r="C238" s="39" t="str">
        <f aca="false">IF(Transaksi!C237="","",Transaksi!D237)</f>
        <v/>
      </c>
      <c r="D238" s="40" t="str">
        <f aca="false">IF(Transaksi!C237="","",Transaksi!H237)</f>
        <v/>
      </c>
      <c r="E238" s="39" t="str">
        <f aca="false">IF(Transaksi!C237="","",Transaksi!G237)</f>
        <v/>
      </c>
      <c r="F238" s="36" t="str">
        <f aca="false">IF(Transaksi!C237="","",Transaksi!J237)</f>
        <v/>
      </c>
      <c r="G238" s="36" t="str">
        <f aca="false">IF(Transaksi!C237="","",Transaksi!K237)</f>
        <v/>
      </c>
      <c r="H238" s="36" t="str">
        <f aca="false">IF($B238="","",Pengaturan!$C$10+SUMIFS(Transaksi!$J$6:$J237,Transaksi!$G$6:$G237,Pengaturan!$F$19)-SUMIFS(Transaksi!$K$6:$K237,Transaksi!$G$6:$G237,Pengaturan!$F$19))</f>
        <v/>
      </c>
      <c r="I238" s="36" t="str">
        <f aca="false">IF($B238="","",Pengaturan!$C$11+SUMIFS(Transaksi!$J$6:$J237,Transaksi!$G$6:$G237,Pengaturan!$F$20)-SUMIFS(Transaksi!$K$6:$K237,Transaksi!$G$6:$G237,Pengaturan!$F$20))</f>
        <v/>
      </c>
      <c r="J238" s="41" t="str">
        <f aca="false">IF($B238="","",H238+I238)</f>
        <v/>
      </c>
    </row>
    <row r="239" customFormat="false" ht="15" hidden="false" customHeight="false" outlineLevel="0" collapsed="false">
      <c r="B239" s="38" t="str">
        <f aca="false">IF(Transaksi!C238="","",Transaksi!C238)</f>
        <v/>
      </c>
      <c r="C239" s="39" t="str">
        <f aca="false">IF(Transaksi!C238="","",Transaksi!D238)</f>
        <v/>
      </c>
      <c r="D239" s="40" t="str">
        <f aca="false">IF(Transaksi!C238="","",Transaksi!H238)</f>
        <v/>
      </c>
      <c r="E239" s="39" t="str">
        <f aca="false">IF(Transaksi!C238="","",Transaksi!G238)</f>
        <v/>
      </c>
      <c r="F239" s="36" t="str">
        <f aca="false">IF(Transaksi!C238="","",Transaksi!J238)</f>
        <v/>
      </c>
      <c r="G239" s="36" t="str">
        <f aca="false">IF(Transaksi!C238="","",Transaksi!K238)</f>
        <v/>
      </c>
      <c r="H239" s="36" t="str">
        <f aca="false">IF($B239="","",Pengaturan!$C$10+SUMIFS(Transaksi!$J$6:$J238,Transaksi!$G$6:$G238,Pengaturan!$F$19)-SUMIFS(Transaksi!$K$6:$K238,Transaksi!$G$6:$G238,Pengaturan!$F$19))</f>
        <v/>
      </c>
      <c r="I239" s="36" t="str">
        <f aca="false">IF($B239="","",Pengaturan!$C$11+SUMIFS(Transaksi!$J$6:$J238,Transaksi!$G$6:$G238,Pengaturan!$F$20)-SUMIFS(Transaksi!$K$6:$K238,Transaksi!$G$6:$G238,Pengaturan!$F$20))</f>
        <v/>
      </c>
      <c r="J239" s="41" t="str">
        <f aca="false">IF($B239="","",H239+I239)</f>
        <v/>
      </c>
    </row>
    <row r="240" customFormat="false" ht="15" hidden="false" customHeight="false" outlineLevel="0" collapsed="false">
      <c r="B240" s="38" t="str">
        <f aca="false">IF(Transaksi!C239="","",Transaksi!C239)</f>
        <v/>
      </c>
      <c r="C240" s="39" t="str">
        <f aca="false">IF(Transaksi!C239="","",Transaksi!D239)</f>
        <v/>
      </c>
      <c r="D240" s="40" t="str">
        <f aca="false">IF(Transaksi!C239="","",Transaksi!H239)</f>
        <v/>
      </c>
      <c r="E240" s="39" t="str">
        <f aca="false">IF(Transaksi!C239="","",Transaksi!G239)</f>
        <v/>
      </c>
      <c r="F240" s="36" t="str">
        <f aca="false">IF(Transaksi!C239="","",Transaksi!J239)</f>
        <v/>
      </c>
      <c r="G240" s="36" t="str">
        <f aca="false">IF(Transaksi!C239="","",Transaksi!K239)</f>
        <v/>
      </c>
      <c r="H240" s="36" t="str">
        <f aca="false">IF($B240="","",Pengaturan!$C$10+SUMIFS(Transaksi!$J$6:$J239,Transaksi!$G$6:$G239,Pengaturan!$F$19)-SUMIFS(Transaksi!$K$6:$K239,Transaksi!$G$6:$G239,Pengaturan!$F$19))</f>
        <v/>
      </c>
      <c r="I240" s="36" t="str">
        <f aca="false">IF($B240="","",Pengaturan!$C$11+SUMIFS(Transaksi!$J$6:$J239,Transaksi!$G$6:$G239,Pengaturan!$F$20)-SUMIFS(Transaksi!$K$6:$K239,Transaksi!$G$6:$G239,Pengaturan!$F$20))</f>
        <v/>
      </c>
      <c r="J240" s="41" t="str">
        <f aca="false">IF($B240="","",H240+I240)</f>
        <v/>
      </c>
    </row>
    <row r="241" customFormat="false" ht="15" hidden="false" customHeight="false" outlineLevel="0" collapsed="false">
      <c r="B241" s="38" t="str">
        <f aca="false">IF(Transaksi!C240="","",Transaksi!C240)</f>
        <v/>
      </c>
      <c r="C241" s="39" t="str">
        <f aca="false">IF(Transaksi!C240="","",Transaksi!D240)</f>
        <v/>
      </c>
      <c r="D241" s="40" t="str">
        <f aca="false">IF(Transaksi!C240="","",Transaksi!H240)</f>
        <v/>
      </c>
      <c r="E241" s="39" t="str">
        <f aca="false">IF(Transaksi!C240="","",Transaksi!G240)</f>
        <v/>
      </c>
      <c r="F241" s="36" t="str">
        <f aca="false">IF(Transaksi!C240="","",Transaksi!J240)</f>
        <v/>
      </c>
      <c r="G241" s="36" t="str">
        <f aca="false">IF(Transaksi!C240="","",Transaksi!K240)</f>
        <v/>
      </c>
      <c r="H241" s="36" t="str">
        <f aca="false">IF($B241="","",Pengaturan!$C$10+SUMIFS(Transaksi!$J$6:$J240,Transaksi!$G$6:$G240,Pengaturan!$F$19)-SUMIFS(Transaksi!$K$6:$K240,Transaksi!$G$6:$G240,Pengaturan!$F$19))</f>
        <v/>
      </c>
      <c r="I241" s="36" t="str">
        <f aca="false">IF($B241="","",Pengaturan!$C$11+SUMIFS(Transaksi!$J$6:$J240,Transaksi!$G$6:$G240,Pengaturan!$F$20)-SUMIFS(Transaksi!$K$6:$K240,Transaksi!$G$6:$G240,Pengaturan!$F$20))</f>
        <v/>
      </c>
      <c r="J241" s="41" t="str">
        <f aca="false">IF($B241="","",H241+I241)</f>
        <v/>
      </c>
    </row>
    <row r="242" customFormat="false" ht="15" hidden="false" customHeight="false" outlineLevel="0" collapsed="false">
      <c r="B242" s="38" t="str">
        <f aca="false">IF(Transaksi!C241="","",Transaksi!C241)</f>
        <v/>
      </c>
      <c r="C242" s="39" t="str">
        <f aca="false">IF(Transaksi!C241="","",Transaksi!D241)</f>
        <v/>
      </c>
      <c r="D242" s="40" t="str">
        <f aca="false">IF(Transaksi!C241="","",Transaksi!H241)</f>
        <v/>
      </c>
      <c r="E242" s="39" t="str">
        <f aca="false">IF(Transaksi!C241="","",Transaksi!G241)</f>
        <v/>
      </c>
      <c r="F242" s="36" t="str">
        <f aca="false">IF(Transaksi!C241="","",Transaksi!J241)</f>
        <v/>
      </c>
      <c r="G242" s="36" t="str">
        <f aca="false">IF(Transaksi!C241="","",Transaksi!K241)</f>
        <v/>
      </c>
      <c r="H242" s="36" t="str">
        <f aca="false">IF($B242="","",Pengaturan!$C$10+SUMIFS(Transaksi!$J$6:$J241,Transaksi!$G$6:$G241,Pengaturan!$F$19)-SUMIFS(Transaksi!$K$6:$K241,Transaksi!$G$6:$G241,Pengaturan!$F$19))</f>
        <v/>
      </c>
      <c r="I242" s="36" t="str">
        <f aca="false">IF($B242="","",Pengaturan!$C$11+SUMIFS(Transaksi!$J$6:$J241,Transaksi!$G$6:$G241,Pengaturan!$F$20)-SUMIFS(Transaksi!$K$6:$K241,Transaksi!$G$6:$G241,Pengaturan!$F$20))</f>
        <v/>
      </c>
      <c r="J242" s="41" t="str">
        <f aca="false">IF($B242="","",H242+I242)</f>
        <v/>
      </c>
    </row>
    <row r="243" customFormat="false" ht="15" hidden="false" customHeight="false" outlineLevel="0" collapsed="false">
      <c r="B243" s="38" t="str">
        <f aca="false">IF(Transaksi!C242="","",Transaksi!C242)</f>
        <v/>
      </c>
      <c r="C243" s="39" t="str">
        <f aca="false">IF(Transaksi!C242="","",Transaksi!D242)</f>
        <v/>
      </c>
      <c r="D243" s="40" t="str">
        <f aca="false">IF(Transaksi!C242="","",Transaksi!H242)</f>
        <v/>
      </c>
      <c r="E243" s="39" t="str">
        <f aca="false">IF(Transaksi!C242="","",Transaksi!G242)</f>
        <v/>
      </c>
      <c r="F243" s="36" t="str">
        <f aca="false">IF(Transaksi!C242="","",Transaksi!J242)</f>
        <v/>
      </c>
      <c r="G243" s="36" t="str">
        <f aca="false">IF(Transaksi!C242="","",Transaksi!K242)</f>
        <v/>
      </c>
      <c r="H243" s="36" t="str">
        <f aca="false">IF($B243="","",Pengaturan!$C$10+SUMIFS(Transaksi!$J$6:$J242,Transaksi!$G$6:$G242,Pengaturan!$F$19)-SUMIFS(Transaksi!$K$6:$K242,Transaksi!$G$6:$G242,Pengaturan!$F$19))</f>
        <v/>
      </c>
      <c r="I243" s="36" t="str">
        <f aca="false">IF($B243="","",Pengaturan!$C$11+SUMIFS(Transaksi!$J$6:$J242,Transaksi!$G$6:$G242,Pengaturan!$F$20)-SUMIFS(Transaksi!$K$6:$K242,Transaksi!$G$6:$G242,Pengaturan!$F$20))</f>
        <v/>
      </c>
      <c r="J243" s="41" t="str">
        <f aca="false">IF($B243="","",H243+I243)</f>
        <v/>
      </c>
    </row>
    <row r="244" customFormat="false" ht="15" hidden="false" customHeight="false" outlineLevel="0" collapsed="false">
      <c r="B244" s="38" t="str">
        <f aca="false">IF(Transaksi!C243="","",Transaksi!C243)</f>
        <v/>
      </c>
      <c r="C244" s="39" t="str">
        <f aca="false">IF(Transaksi!C243="","",Transaksi!D243)</f>
        <v/>
      </c>
      <c r="D244" s="40" t="str">
        <f aca="false">IF(Transaksi!C243="","",Transaksi!H243)</f>
        <v/>
      </c>
      <c r="E244" s="39" t="str">
        <f aca="false">IF(Transaksi!C243="","",Transaksi!G243)</f>
        <v/>
      </c>
      <c r="F244" s="36" t="str">
        <f aca="false">IF(Transaksi!C243="","",Transaksi!J243)</f>
        <v/>
      </c>
      <c r="G244" s="36" t="str">
        <f aca="false">IF(Transaksi!C243="","",Transaksi!K243)</f>
        <v/>
      </c>
      <c r="H244" s="36" t="str">
        <f aca="false">IF($B244="","",Pengaturan!$C$10+SUMIFS(Transaksi!$J$6:$J243,Transaksi!$G$6:$G243,Pengaturan!$F$19)-SUMIFS(Transaksi!$K$6:$K243,Transaksi!$G$6:$G243,Pengaturan!$F$19))</f>
        <v/>
      </c>
      <c r="I244" s="36" t="str">
        <f aca="false">IF($B244="","",Pengaturan!$C$11+SUMIFS(Transaksi!$J$6:$J243,Transaksi!$G$6:$G243,Pengaturan!$F$20)-SUMIFS(Transaksi!$K$6:$K243,Transaksi!$G$6:$G243,Pengaturan!$F$20))</f>
        <v/>
      </c>
      <c r="J244" s="41" t="str">
        <f aca="false">IF($B244="","",H244+I244)</f>
        <v/>
      </c>
    </row>
    <row r="245" customFormat="false" ht="15" hidden="false" customHeight="false" outlineLevel="0" collapsed="false">
      <c r="B245" s="38" t="str">
        <f aca="false">IF(Transaksi!C244="","",Transaksi!C244)</f>
        <v/>
      </c>
      <c r="C245" s="39" t="str">
        <f aca="false">IF(Transaksi!C244="","",Transaksi!D244)</f>
        <v/>
      </c>
      <c r="D245" s="40" t="str">
        <f aca="false">IF(Transaksi!C244="","",Transaksi!H244)</f>
        <v/>
      </c>
      <c r="E245" s="39" t="str">
        <f aca="false">IF(Transaksi!C244="","",Transaksi!G244)</f>
        <v/>
      </c>
      <c r="F245" s="36" t="str">
        <f aca="false">IF(Transaksi!C244="","",Transaksi!J244)</f>
        <v/>
      </c>
      <c r="G245" s="36" t="str">
        <f aca="false">IF(Transaksi!C244="","",Transaksi!K244)</f>
        <v/>
      </c>
      <c r="H245" s="36" t="str">
        <f aca="false">IF($B245="","",Pengaturan!$C$10+SUMIFS(Transaksi!$J$6:$J244,Transaksi!$G$6:$G244,Pengaturan!$F$19)-SUMIFS(Transaksi!$K$6:$K244,Transaksi!$G$6:$G244,Pengaturan!$F$19))</f>
        <v/>
      </c>
      <c r="I245" s="36" t="str">
        <f aca="false">IF($B245="","",Pengaturan!$C$11+SUMIFS(Transaksi!$J$6:$J244,Transaksi!$G$6:$G244,Pengaturan!$F$20)-SUMIFS(Transaksi!$K$6:$K244,Transaksi!$G$6:$G244,Pengaturan!$F$20))</f>
        <v/>
      </c>
      <c r="J245" s="41" t="str">
        <f aca="false">IF($B245="","",H245+I245)</f>
        <v/>
      </c>
    </row>
    <row r="246" customFormat="false" ht="15" hidden="false" customHeight="false" outlineLevel="0" collapsed="false">
      <c r="B246" s="38" t="str">
        <f aca="false">IF(Transaksi!C245="","",Transaksi!C245)</f>
        <v/>
      </c>
      <c r="C246" s="39" t="str">
        <f aca="false">IF(Transaksi!C245="","",Transaksi!D245)</f>
        <v/>
      </c>
      <c r="D246" s="40" t="str">
        <f aca="false">IF(Transaksi!C245="","",Transaksi!H245)</f>
        <v/>
      </c>
      <c r="E246" s="39" t="str">
        <f aca="false">IF(Transaksi!C245="","",Transaksi!G245)</f>
        <v/>
      </c>
      <c r="F246" s="36" t="str">
        <f aca="false">IF(Transaksi!C245="","",Transaksi!J245)</f>
        <v/>
      </c>
      <c r="G246" s="36" t="str">
        <f aca="false">IF(Transaksi!C245="","",Transaksi!K245)</f>
        <v/>
      </c>
      <c r="H246" s="36" t="str">
        <f aca="false">IF($B246="","",Pengaturan!$C$10+SUMIFS(Transaksi!$J$6:$J245,Transaksi!$G$6:$G245,Pengaturan!$F$19)-SUMIFS(Transaksi!$K$6:$K245,Transaksi!$G$6:$G245,Pengaturan!$F$19))</f>
        <v/>
      </c>
      <c r="I246" s="36" t="str">
        <f aca="false">IF($B246="","",Pengaturan!$C$11+SUMIFS(Transaksi!$J$6:$J245,Transaksi!$G$6:$G245,Pengaturan!$F$20)-SUMIFS(Transaksi!$K$6:$K245,Transaksi!$G$6:$G245,Pengaturan!$F$20))</f>
        <v/>
      </c>
      <c r="J246" s="41" t="str">
        <f aca="false">IF($B246="","",H246+I246)</f>
        <v/>
      </c>
    </row>
    <row r="247" customFormat="false" ht="15" hidden="false" customHeight="false" outlineLevel="0" collapsed="false">
      <c r="B247" s="38" t="str">
        <f aca="false">IF(Transaksi!C246="","",Transaksi!C246)</f>
        <v/>
      </c>
      <c r="C247" s="39" t="str">
        <f aca="false">IF(Transaksi!C246="","",Transaksi!D246)</f>
        <v/>
      </c>
      <c r="D247" s="40" t="str">
        <f aca="false">IF(Transaksi!C246="","",Transaksi!H246)</f>
        <v/>
      </c>
      <c r="E247" s="39" t="str">
        <f aca="false">IF(Transaksi!C246="","",Transaksi!G246)</f>
        <v/>
      </c>
      <c r="F247" s="36" t="str">
        <f aca="false">IF(Transaksi!C246="","",Transaksi!J246)</f>
        <v/>
      </c>
      <c r="G247" s="36" t="str">
        <f aca="false">IF(Transaksi!C246="","",Transaksi!K246)</f>
        <v/>
      </c>
      <c r="H247" s="36" t="str">
        <f aca="false">IF($B247="","",Pengaturan!$C$10+SUMIFS(Transaksi!$J$6:$J246,Transaksi!$G$6:$G246,Pengaturan!$F$19)-SUMIFS(Transaksi!$K$6:$K246,Transaksi!$G$6:$G246,Pengaturan!$F$19))</f>
        <v/>
      </c>
      <c r="I247" s="36" t="str">
        <f aca="false">IF($B247="","",Pengaturan!$C$11+SUMIFS(Transaksi!$J$6:$J246,Transaksi!$G$6:$G246,Pengaturan!$F$20)-SUMIFS(Transaksi!$K$6:$K246,Transaksi!$G$6:$G246,Pengaturan!$F$20))</f>
        <v/>
      </c>
      <c r="J247" s="41" t="str">
        <f aca="false">IF($B247="","",H247+I247)</f>
        <v/>
      </c>
    </row>
    <row r="248" customFormat="false" ht="15" hidden="false" customHeight="false" outlineLevel="0" collapsed="false">
      <c r="B248" s="38" t="str">
        <f aca="false">IF(Transaksi!C247="","",Transaksi!C247)</f>
        <v/>
      </c>
      <c r="C248" s="39" t="str">
        <f aca="false">IF(Transaksi!C247="","",Transaksi!D247)</f>
        <v/>
      </c>
      <c r="D248" s="40" t="str">
        <f aca="false">IF(Transaksi!C247="","",Transaksi!H247)</f>
        <v/>
      </c>
      <c r="E248" s="39" t="str">
        <f aca="false">IF(Transaksi!C247="","",Transaksi!G247)</f>
        <v/>
      </c>
      <c r="F248" s="36" t="str">
        <f aca="false">IF(Transaksi!C247="","",Transaksi!J247)</f>
        <v/>
      </c>
      <c r="G248" s="36" t="str">
        <f aca="false">IF(Transaksi!C247="","",Transaksi!K247)</f>
        <v/>
      </c>
      <c r="H248" s="36" t="str">
        <f aca="false">IF($B248="","",Pengaturan!$C$10+SUMIFS(Transaksi!$J$6:$J247,Transaksi!$G$6:$G247,Pengaturan!$F$19)-SUMIFS(Transaksi!$K$6:$K247,Transaksi!$G$6:$G247,Pengaturan!$F$19))</f>
        <v/>
      </c>
      <c r="I248" s="36" t="str">
        <f aca="false">IF($B248="","",Pengaturan!$C$11+SUMIFS(Transaksi!$J$6:$J247,Transaksi!$G$6:$G247,Pengaturan!$F$20)-SUMIFS(Transaksi!$K$6:$K247,Transaksi!$G$6:$G247,Pengaturan!$F$20))</f>
        <v/>
      </c>
      <c r="J248" s="41" t="str">
        <f aca="false">IF($B248="","",H248+I248)</f>
        <v/>
      </c>
    </row>
    <row r="249" customFormat="false" ht="15" hidden="false" customHeight="false" outlineLevel="0" collapsed="false">
      <c r="B249" s="38" t="str">
        <f aca="false">IF(Transaksi!C248="","",Transaksi!C248)</f>
        <v/>
      </c>
      <c r="C249" s="39" t="str">
        <f aca="false">IF(Transaksi!C248="","",Transaksi!D248)</f>
        <v/>
      </c>
      <c r="D249" s="40" t="str">
        <f aca="false">IF(Transaksi!C248="","",Transaksi!H248)</f>
        <v/>
      </c>
      <c r="E249" s="39" t="str">
        <f aca="false">IF(Transaksi!C248="","",Transaksi!G248)</f>
        <v/>
      </c>
      <c r="F249" s="36" t="str">
        <f aca="false">IF(Transaksi!C248="","",Transaksi!J248)</f>
        <v/>
      </c>
      <c r="G249" s="36" t="str">
        <f aca="false">IF(Transaksi!C248="","",Transaksi!K248)</f>
        <v/>
      </c>
      <c r="H249" s="36" t="str">
        <f aca="false">IF($B249="","",Pengaturan!$C$10+SUMIFS(Transaksi!$J$6:$J248,Transaksi!$G$6:$G248,Pengaturan!$F$19)-SUMIFS(Transaksi!$K$6:$K248,Transaksi!$G$6:$G248,Pengaturan!$F$19))</f>
        <v/>
      </c>
      <c r="I249" s="36" t="str">
        <f aca="false">IF($B249="","",Pengaturan!$C$11+SUMIFS(Transaksi!$J$6:$J248,Transaksi!$G$6:$G248,Pengaturan!$F$20)-SUMIFS(Transaksi!$K$6:$K248,Transaksi!$G$6:$G248,Pengaturan!$F$20))</f>
        <v/>
      </c>
      <c r="J249" s="41" t="str">
        <f aca="false">IF($B249="","",H249+I249)</f>
        <v/>
      </c>
    </row>
    <row r="250" customFormat="false" ht="15" hidden="false" customHeight="false" outlineLevel="0" collapsed="false">
      <c r="B250" s="38" t="str">
        <f aca="false">IF(Transaksi!C249="","",Transaksi!C249)</f>
        <v/>
      </c>
      <c r="C250" s="39" t="str">
        <f aca="false">IF(Transaksi!C249="","",Transaksi!D249)</f>
        <v/>
      </c>
      <c r="D250" s="40" t="str">
        <f aca="false">IF(Transaksi!C249="","",Transaksi!H249)</f>
        <v/>
      </c>
      <c r="E250" s="39" t="str">
        <f aca="false">IF(Transaksi!C249="","",Transaksi!G249)</f>
        <v/>
      </c>
      <c r="F250" s="36" t="str">
        <f aca="false">IF(Transaksi!C249="","",Transaksi!J249)</f>
        <v/>
      </c>
      <c r="G250" s="36" t="str">
        <f aca="false">IF(Transaksi!C249="","",Transaksi!K249)</f>
        <v/>
      </c>
      <c r="H250" s="36" t="str">
        <f aca="false">IF($B250="","",Pengaturan!$C$10+SUMIFS(Transaksi!$J$6:$J249,Transaksi!$G$6:$G249,Pengaturan!$F$19)-SUMIFS(Transaksi!$K$6:$K249,Transaksi!$G$6:$G249,Pengaturan!$F$19))</f>
        <v/>
      </c>
      <c r="I250" s="36" t="str">
        <f aca="false">IF($B250="","",Pengaturan!$C$11+SUMIFS(Transaksi!$J$6:$J249,Transaksi!$G$6:$G249,Pengaturan!$F$20)-SUMIFS(Transaksi!$K$6:$K249,Transaksi!$G$6:$G249,Pengaturan!$F$20))</f>
        <v/>
      </c>
      <c r="J250" s="41" t="str">
        <f aca="false">IF($B250="","",H250+I250)</f>
        <v/>
      </c>
    </row>
    <row r="251" customFormat="false" ht="15" hidden="false" customHeight="false" outlineLevel="0" collapsed="false">
      <c r="B251" s="38" t="str">
        <f aca="false">IF(Transaksi!C250="","",Transaksi!C250)</f>
        <v/>
      </c>
      <c r="C251" s="39" t="str">
        <f aca="false">IF(Transaksi!C250="","",Transaksi!D250)</f>
        <v/>
      </c>
      <c r="D251" s="40" t="str">
        <f aca="false">IF(Transaksi!C250="","",Transaksi!H250)</f>
        <v/>
      </c>
      <c r="E251" s="39" t="str">
        <f aca="false">IF(Transaksi!C250="","",Transaksi!G250)</f>
        <v/>
      </c>
      <c r="F251" s="36" t="str">
        <f aca="false">IF(Transaksi!C250="","",Transaksi!J250)</f>
        <v/>
      </c>
      <c r="G251" s="36" t="str">
        <f aca="false">IF(Transaksi!C250="","",Transaksi!K250)</f>
        <v/>
      </c>
      <c r="H251" s="36" t="str">
        <f aca="false">IF($B251="","",Pengaturan!$C$10+SUMIFS(Transaksi!$J$6:$J250,Transaksi!$G$6:$G250,Pengaturan!$F$19)-SUMIFS(Transaksi!$K$6:$K250,Transaksi!$G$6:$G250,Pengaturan!$F$19))</f>
        <v/>
      </c>
      <c r="I251" s="36" t="str">
        <f aca="false">IF($B251="","",Pengaturan!$C$11+SUMIFS(Transaksi!$J$6:$J250,Transaksi!$G$6:$G250,Pengaturan!$F$20)-SUMIFS(Transaksi!$K$6:$K250,Transaksi!$G$6:$G250,Pengaturan!$F$20))</f>
        <v/>
      </c>
      <c r="J251" s="41" t="str">
        <f aca="false">IF($B251="","",H251+I251)</f>
        <v/>
      </c>
    </row>
    <row r="252" customFormat="false" ht="15" hidden="false" customHeight="false" outlineLevel="0" collapsed="false">
      <c r="B252" s="38" t="str">
        <f aca="false">IF(Transaksi!C251="","",Transaksi!C251)</f>
        <v/>
      </c>
      <c r="C252" s="39" t="str">
        <f aca="false">IF(Transaksi!C251="","",Transaksi!D251)</f>
        <v/>
      </c>
      <c r="D252" s="40" t="str">
        <f aca="false">IF(Transaksi!C251="","",Transaksi!H251)</f>
        <v/>
      </c>
      <c r="E252" s="39" t="str">
        <f aca="false">IF(Transaksi!C251="","",Transaksi!G251)</f>
        <v/>
      </c>
      <c r="F252" s="36" t="str">
        <f aca="false">IF(Transaksi!C251="","",Transaksi!J251)</f>
        <v/>
      </c>
      <c r="G252" s="36" t="str">
        <f aca="false">IF(Transaksi!C251="","",Transaksi!K251)</f>
        <v/>
      </c>
      <c r="H252" s="36" t="str">
        <f aca="false">IF($B252="","",Pengaturan!$C$10+SUMIFS(Transaksi!$J$6:$J251,Transaksi!$G$6:$G251,Pengaturan!$F$19)-SUMIFS(Transaksi!$K$6:$K251,Transaksi!$G$6:$G251,Pengaturan!$F$19))</f>
        <v/>
      </c>
      <c r="I252" s="36" t="str">
        <f aca="false">IF($B252="","",Pengaturan!$C$11+SUMIFS(Transaksi!$J$6:$J251,Transaksi!$G$6:$G251,Pengaturan!$F$20)-SUMIFS(Transaksi!$K$6:$K251,Transaksi!$G$6:$G251,Pengaturan!$F$20))</f>
        <v/>
      </c>
      <c r="J252" s="41" t="str">
        <f aca="false">IF($B252="","",H252+I252)</f>
        <v/>
      </c>
    </row>
    <row r="253" customFormat="false" ht="15" hidden="false" customHeight="false" outlineLevel="0" collapsed="false">
      <c r="B253" s="38" t="str">
        <f aca="false">IF(Transaksi!C252="","",Transaksi!C252)</f>
        <v/>
      </c>
      <c r="C253" s="39" t="str">
        <f aca="false">IF(Transaksi!C252="","",Transaksi!D252)</f>
        <v/>
      </c>
      <c r="D253" s="40" t="str">
        <f aca="false">IF(Transaksi!C252="","",Transaksi!H252)</f>
        <v/>
      </c>
      <c r="E253" s="39" t="str">
        <f aca="false">IF(Transaksi!C252="","",Transaksi!G252)</f>
        <v/>
      </c>
      <c r="F253" s="36" t="str">
        <f aca="false">IF(Transaksi!C252="","",Transaksi!J252)</f>
        <v/>
      </c>
      <c r="G253" s="36" t="str">
        <f aca="false">IF(Transaksi!C252="","",Transaksi!K252)</f>
        <v/>
      </c>
      <c r="H253" s="36" t="str">
        <f aca="false">IF($B253="","",Pengaturan!$C$10+SUMIFS(Transaksi!$J$6:$J252,Transaksi!$G$6:$G252,Pengaturan!$F$19)-SUMIFS(Transaksi!$K$6:$K252,Transaksi!$G$6:$G252,Pengaturan!$F$19))</f>
        <v/>
      </c>
      <c r="I253" s="36" t="str">
        <f aca="false">IF($B253="","",Pengaturan!$C$11+SUMIFS(Transaksi!$J$6:$J252,Transaksi!$G$6:$G252,Pengaturan!$F$20)-SUMIFS(Transaksi!$K$6:$K252,Transaksi!$G$6:$G252,Pengaturan!$F$20))</f>
        <v/>
      </c>
      <c r="J253" s="41" t="str">
        <f aca="false">IF($B253="","",H253+I253)</f>
        <v/>
      </c>
    </row>
    <row r="254" customFormat="false" ht="15" hidden="false" customHeight="false" outlineLevel="0" collapsed="false">
      <c r="B254" s="38" t="str">
        <f aca="false">IF(Transaksi!C253="","",Transaksi!C253)</f>
        <v/>
      </c>
      <c r="C254" s="39" t="str">
        <f aca="false">IF(Transaksi!C253="","",Transaksi!D253)</f>
        <v/>
      </c>
      <c r="D254" s="40" t="str">
        <f aca="false">IF(Transaksi!C253="","",Transaksi!H253)</f>
        <v/>
      </c>
      <c r="E254" s="39" t="str">
        <f aca="false">IF(Transaksi!C253="","",Transaksi!G253)</f>
        <v/>
      </c>
      <c r="F254" s="36" t="str">
        <f aca="false">IF(Transaksi!C253="","",Transaksi!J253)</f>
        <v/>
      </c>
      <c r="G254" s="36" t="str">
        <f aca="false">IF(Transaksi!C253="","",Transaksi!K253)</f>
        <v/>
      </c>
      <c r="H254" s="36" t="str">
        <f aca="false">IF($B254="","",Pengaturan!$C$10+SUMIFS(Transaksi!$J$6:$J253,Transaksi!$G$6:$G253,Pengaturan!$F$19)-SUMIFS(Transaksi!$K$6:$K253,Transaksi!$G$6:$G253,Pengaturan!$F$19))</f>
        <v/>
      </c>
      <c r="I254" s="36" t="str">
        <f aca="false">IF($B254="","",Pengaturan!$C$11+SUMIFS(Transaksi!$J$6:$J253,Transaksi!$G$6:$G253,Pengaturan!$F$20)-SUMIFS(Transaksi!$K$6:$K253,Transaksi!$G$6:$G253,Pengaturan!$F$20))</f>
        <v/>
      </c>
      <c r="J254" s="41" t="str">
        <f aca="false">IF($B254="","",H254+I254)</f>
        <v/>
      </c>
    </row>
    <row r="255" customFormat="false" ht="15" hidden="false" customHeight="false" outlineLevel="0" collapsed="false">
      <c r="B255" s="38" t="str">
        <f aca="false">IF(Transaksi!C254="","",Transaksi!C254)</f>
        <v/>
      </c>
      <c r="C255" s="39" t="str">
        <f aca="false">IF(Transaksi!C254="","",Transaksi!D254)</f>
        <v/>
      </c>
      <c r="D255" s="40" t="str">
        <f aca="false">IF(Transaksi!C254="","",Transaksi!H254)</f>
        <v/>
      </c>
      <c r="E255" s="39" t="str">
        <f aca="false">IF(Transaksi!C254="","",Transaksi!G254)</f>
        <v/>
      </c>
      <c r="F255" s="36" t="str">
        <f aca="false">IF(Transaksi!C254="","",Transaksi!J254)</f>
        <v/>
      </c>
      <c r="G255" s="36" t="str">
        <f aca="false">IF(Transaksi!C254="","",Transaksi!K254)</f>
        <v/>
      </c>
      <c r="H255" s="36" t="str">
        <f aca="false">IF($B255="","",Pengaturan!$C$10+SUMIFS(Transaksi!$J$6:$J254,Transaksi!$G$6:$G254,Pengaturan!$F$19)-SUMIFS(Transaksi!$K$6:$K254,Transaksi!$G$6:$G254,Pengaturan!$F$19))</f>
        <v/>
      </c>
      <c r="I255" s="36" t="str">
        <f aca="false">IF($B255="","",Pengaturan!$C$11+SUMIFS(Transaksi!$J$6:$J254,Transaksi!$G$6:$G254,Pengaturan!$F$20)-SUMIFS(Transaksi!$K$6:$K254,Transaksi!$G$6:$G254,Pengaturan!$F$20))</f>
        <v/>
      </c>
      <c r="J255" s="41" t="str">
        <f aca="false">IF($B255="","",H255+I255)</f>
        <v/>
      </c>
    </row>
    <row r="256" customFormat="false" ht="15" hidden="false" customHeight="false" outlineLevel="0" collapsed="false">
      <c r="B256" s="38" t="str">
        <f aca="false">IF(Transaksi!C255="","",Transaksi!C255)</f>
        <v/>
      </c>
      <c r="C256" s="39" t="str">
        <f aca="false">IF(Transaksi!C255="","",Transaksi!D255)</f>
        <v/>
      </c>
      <c r="D256" s="40" t="str">
        <f aca="false">IF(Transaksi!C255="","",Transaksi!H255)</f>
        <v/>
      </c>
      <c r="E256" s="39" t="str">
        <f aca="false">IF(Transaksi!C255="","",Transaksi!G255)</f>
        <v/>
      </c>
      <c r="F256" s="36" t="str">
        <f aca="false">IF(Transaksi!C255="","",Transaksi!J255)</f>
        <v/>
      </c>
      <c r="G256" s="36" t="str">
        <f aca="false">IF(Transaksi!C255="","",Transaksi!K255)</f>
        <v/>
      </c>
      <c r="H256" s="36" t="str">
        <f aca="false">IF($B256="","",Pengaturan!$C$10+SUMIFS(Transaksi!$J$6:$J255,Transaksi!$G$6:$G255,Pengaturan!$F$19)-SUMIFS(Transaksi!$K$6:$K255,Transaksi!$G$6:$G255,Pengaturan!$F$19))</f>
        <v/>
      </c>
      <c r="I256" s="36" t="str">
        <f aca="false">IF($B256="","",Pengaturan!$C$11+SUMIFS(Transaksi!$J$6:$J255,Transaksi!$G$6:$G255,Pengaturan!$F$20)-SUMIFS(Transaksi!$K$6:$K255,Transaksi!$G$6:$G255,Pengaturan!$F$20))</f>
        <v/>
      </c>
      <c r="J256" s="41" t="str">
        <f aca="false">IF($B256="","",H256+I256)</f>
        <v/>
      </c>
    </row>
    <row r="257" customFormat="false" ht="15" hidden="false" customHeight="false" outlineLevel="0" collapsed="false">
      <c r="B257" s="38" t="str">
        <f aca="false">IF(Transaksi!C256="","",Transaksi!C256)</f>
        <v/>
      </c>
      <c r="C257" s="39" t="str">
        <f aca="false">IF(Transaksi!C256="","",Transaksi!D256)</f>
        <v/>
      </c>
      <c r="D257" s="40" t="str">
        <f aca="false">IF(Transaksi!C256="","",Transaksi!H256)</f>
        <v/>
      </c>
      <c r="E257" s="39" t="str">
        <f aca="false">IF(Transaksi!C256="","",Transaksi!G256)</f>
        <v/>
      </c>
      <c r="F257" s="36" t="str">
        <f aca="false">IF(Transaksi!C256="","",Transaksi!J256)</f>
        <v/>
      </c>
      <c r="G257" s="36" t="str">
        <f aca="false">IF(Transaksi!C256="","",Transaksi!K256)</f>
        <v/>
      </c>
      <c r="H257" s="36" t="str">
        <f aca="false">IF($B257="","",Pengaturan!$C$10+SUMIFS(Transaksi!$J$6:$J256,Transaksi!$G$6:$G256,Pengaturan!$F$19)-SUMIFS(Transaksi!$K$6:$K256,Transaksi!$G$6:$G256,Pengaturan!$F$19))</f>
        <v/>
      </c>
      <c r="I257" s="36" t="str">
        <f aca="false">IF($B257="","",Pengaturan!$C$11+SUMIFS(Transaksi!$J$6:$J256,Transaksi!$G$6:$G256,Pengaturan!$F$20)-SUMIFS(Transaksi!$K$6:$K256,Transaksi!$G$6:$G256,Pengaturan!$F$20))</f>
        <v/>
      </c>
      <c r="J257" s="41" t="str">
        <f aca="false">IF($B257="","",H257+I257)</f>
        <v/>
      </c>
    </row>
    <row r="258" customFormat="false" ht="15" hidden="false" customHeight="false" outlineLevel="0" collapsed="false">
      <c r="B258" s="38" t="str">
        <f aca="false">IF(Transaksi!C257="","",Transaksi!C257)</f>
        <v/>
      </c>
      <c r="C258" s="39" t="str">
        <f aca="false">IF(Transaksi!C257="","",Transaksi!D257)</f>
        <v/>
      </c>
      <c r="D258" s="40" t="str">
        <f aca="false">IF(Transaksi!C257="","",Transaksi!H257)</f>
        <v/>
      </c>
      <c r="E258" s="39" t="str">
        <f aca="false">IF(Transaksi!C257="","",Transaksi!G257)</f>
        <v/>
      </c>
      <c r="F258" s="36" t="str">
        <f aca="false">IF(Transaksi!C257="","",Transaksi!J257)</f>
        <v/>
      </c>
      <c r="G258" s="36" t="str">
        <f aca="false">IF(Transaksi!C257="","",Transaksi!K257)</f>
        <v/>
      </c>
      <c r="H258" s="36" t="str">
        <f aca="false">IF($B258="","",Pengaturan!$C$10+SUMIFS(Transaksi!$J$6:$J257,Transaksi!$G$6:$G257,Pengaturan!$F$19)-SUMIFS(Transaksi!$K$6:$K257,Transaksi!$G$6:$G257,Pengaturan!$F$19))</f>
        <v/>
      </c>
      <c r="I258" s="36" t="str">
        <f aca="false">IF($B258="","",Pengaturan!$C$11+SUMIFS(Transaksi!$J$6:$J257,Transaksi!$G$6:$G257,Pengaturan!$F$20)-SUMIFS(Transaksi!$K$6:$K257,Transaksi!$G$6:$G257,Pengaturan!$F$20))</f>
        <v/>
      </c>
      <c r="J258" s="41" t="str">
        <f aca="false">IF($B258="","",H258+I258)</f>
        <v/>
      </c>
    </row>
    <row r="259" customFormat="false" ht="15" hidden="false" customHeight="false" outlineLevel="0" collapsed="false">
      <c r="B259" s="38" t="str">
        <f aca="false">IF(Transaksi!C258="","",Transaksi!C258)</f>
        <v/>
      </c>
      <c r="C259" s="39" t="str">
        <f aca="false">IF(Transaksi!C258="","",Transaksi!D258)</f>
        <v/>
      </c>
      <c r="D259" s="40" t="str">
        <f aca="false">IF(Transaksi!C258="","",Transaksi!H258)</f>
        <v/>
      </c>
      <c r="E259" s="39" t="str">
        <f aca="false">IF(Transaksi!C258="","",Transaksi!G258)</f>
        <v/>
      </c>
      <c r="F259" s="36" t="str">
        <f aca="false">IF(Transaksi!C258="","",Transaksi!J258)</f>
        <v/>
      </c>
      <c r="G259" s="36" t="str">
        <f aca="false">IF(Transaksi!C258="","",Transaksi!K258)</f>
        <v/>
      </c>
      <c r="H259" s="36" t="str">
        <f aca="false">IF($B259="","",Pengaturan!$C$10+SUMIFS(Transaksi!$J$6:$J258,Transaksi!$G$6:$G258,Pengaturan!$F$19)-SUMIFS(Transaksi!$K$6:$K258,Transaksi!$G$6:$G258,Pengaturan!$F$19))</f>
        <v/>
      </c>
      <c r="I259" s="36" t="str">
        <f aca="false">IF($B259="","",Pengaturan!$C$11+SUMIFS(Transaksi!$J$6:$J258,Transaksi!$G$6:$G258,Pengaturan!$F$20)-SUMIFS(Transaksi!$K$6:$K258,Transaksi!$G$6:$G258,Pengaturan!$F$20))</f>
        <v/>
      </c>
      <c r="J259" s="41" t="str">
        <f aca="false">IF($B259="","",H259+I259)</f>
        <v/>
      </c>
    </row>
    <row r="260" customFormat="false" ht="15" hidden="false" customHeight="false" outlineLevel="0" collapsed="false">
      <c r="B260" s="38" t="str">
        <f aca="false">IF(Transaksi!C259="","",Transaksi!C259)</f>
        <v/>
      </c>
      <c r="C260" s="39" t="str">
        <f aca="false">IF(Transaksi!C259="","",Transaksi!D259)</f>
        <v/>
      </c>
      <c r="D260" s="40" t="str">
        <f aca="false">IF(Transaksi!C259="","",Transaksi!H259)</f>
        <v/>
      </c>
      <c r="E260" s="39" t="str">
        <f aca="false">IF(Transaksi!C259="","",Transaksi!G259)</f>
        <v/>
      </c>
      <c r="F260" s="36" t="str">
        <f aca="false">IF(Transaksi!C259="","",Transaksi!J259)</f>
        <v/>
      </c>
      <c r="G260" s="36" t="str">
        <f aca="false">IF(Transaksi!C259="","",Transaksi!K259)</f>
        <v/>
      </c>
      <c r="H260" s="36" t="str">
        <f aca="false">IF($B260="","",Pengaturan!$C$10+SUMIFS(Transaksi!$J$6:$J259,Transaksi!$G$6:$G259,Pengaturan!$F$19)-SUMIFS(Transaksi!$K$6:$K259,Transaksi!$G$6:$G259,Pengaturan!$F$19))</f>
        <v/>
      </c>
      <c r="I260" s="36" t="str">
        <f aca="false">IF($B260="","",Pengaturan!$C$11+SUMIFS(Transaksi!$J$6:$J259,Transaksi!$G$6:$G259,Pengaturan!$F$20)-SUMIFS(Transaksi!$K$6:$K259,Transaksi!$G$6:$G259,Pengaturan!$F$20))</f>
        <v/>
      </c>
      <c r="J260" s="41" t="str">
        <f aca="false">IF($B260="","",H260+I260)</f>
        <v/>
      </c>
    </row>
    <row r="261" customFormat="false" ht="15" hidden="false" customHeight="false" outlineLevel="0" collapsed="false">
      <c r="B261" s="38" t="str">
        <f aca="false">IF(Transaksi!C260="","",Transaksi!C260)</f>
        <v/>
      </c>
      <c r="C261" s="39" t="str">
        <f aca="false">IF(Transaksi!C260="","",Transaksi!D260)</f>
        <v/>
      </c>
      <c r="D261" s="40" t="str">
        <f aca="false">IF(Transaksi!C260="","",Transaksi!H260)</f>
        <v/>
      </c>
      <c r="E261" s="39" t="str">
        <f aca="false">IF(Transaksi!C260="","",Transaksi!G260)</f>
        <v/>
      </c>
      <c r="F261" s="36" t="str">
        <f aca="false">IF(Transaksi!C260="","",Transaksi!J260)</f>
        <v/>
      </c>
      <c r="G261" s="36" t="str">
        <f aca="false">IF(Transaksi!C260="","",Transaksi!K260)</f>
        <v/>
      </c>
      <c r="H261" s="36" t="str">
        <f aca="false">IF($B261="","",Pengaturan!$C$10+SUMIFS(Transaksi!$J$6:$J260,Transaksi!$G$6:$G260,Pengaturan!$F$19)-SUMIFS(Transaksi!$K$6:$K260,Transaksi!$G$6:$G260,Pengaturan!$F$19))</f>
        <v/>
      </c>
      <c r="I261" s="36" t="str">
        <f aca="false">IF($B261="","",Pengaturan!$C$11+SUMIFS(Transaksi!$J$6:$J260,Transaksi!$G$6:$G260,Pengaturan!$F$20)-SUMIFS(Transaksi!$K$6:$K260,Transaksi!$G$6:$G260,Pengaturan!$F$20))</f>
        <v/>
      </c>
      <c r="J261" s="41" t="str">
        <f aca="false">IF($B261="","",H261+I261)</f>
        <v/>
      </c>
    </row>
    <row r="262" customFormat="false" ht="15" hidden="false" customHeight="false" outlineLevel="0" collapsed="false">
      <c r="B262" s="38" t="str">
        <f aca="false">IF(Transaksi!C261="","",Transaksi!C261)</f>
        <v/>
      </c>
      <c r="C262" s="39" t="str">
        <f aca="false">IF(Transaksi!C261="","",Transaksi!D261)</f>
        <v/>
      </c>
      <c r="D262" s="40" t="str">
        <f aca="false">IF(Transaksi!C261="","",Transaksi!H261)</f>
        <v/>
      </c>
      <c r="E262" s="39" t="str">
        <f aca="false">IF(Transaksi!C261="","",Transaksi!G261)</f>
        <v/>
      </c>
      <c r="F262" s="36" t="str">
        <f aca="false">IF(Transaksi!C261="","",Transaksi!J261)</f>
        <v/>
      </c>
      <c r="G262" s="36" t="str">
        <f aca="false">IF(Transaksi!C261="","",Transaksi!K261)</f>
        <v/>
      </c>
      <c r="H262" s="36" t="str">
        <f aca="false">IF($B262="","",Pengaturan!$C$10+SUMIFS(Transaksi!$J$6:$J261,Transaksi!$G$6:$G261,Pengaturan!$F$19)-SUMIFS(Transaksi!$K$6:$K261,Transaksi!$G$6:$G261,Pengaturan!$F$19))</f>
        <v/>
      </c>
      <c r="I262" s="36" t="str">
        <f aca="false">IF($B262="","",Pengaturan!$C$11+SUMIFS(Transaksi!$J$6:$J261,Transaksi!$G$6:$G261,Pengaturan!$F$20)-SUMIFS(Transaksi!$K$6:$K261,Transaksi!$G$6:$G261,Pengaturan!$F$20))</f>
        <v/>
      </c>
      <c r="J262" s="41" t="str">
        <f aca="false">IF($B262="","",H262+I262)</f>
        <v/>
      </c>
    </row>
    <row r="263" customFormat="false" ht="15" hidden="false" customHeight="false" outlineLevel="0" collapsed="false">
      <c r="B263" s="38" t="str">
        <f aca="false">IF(Transaksi!C262="","",Transaksi!C262)</f>
        <v/>
      </c>
      <c r="C263" s="39" t="str">
        <f aca="false">IF(Transaksi!C262="","",Transaksi!D262)</f>
        <v/>
      </c>
      <c r="D263" s="40" t="str">
        <f aca="false">IF(Transaksi!C262="","",Transaksi!H262)</f>
        <v/>
      </c>
      <c r="E263" s="39" t="str">
        <f aca="false">IF(Transaksi!C262="","",Transaksi!G262)</f>
        <v/>
      </c>
      <c r="F263" s="36" t="str">
        <f aca="false">IF(Transaksi!C262="","",Transaksi!J262)</f>
        <v/>
      </c>
      <c r="G263" s="36" t="str">
        <f aca="false">IF(Transaksi!C262="","",Transaksi!K262)</f>
        <v/>
      </c>
      <c r="H263" s="36" t="str">
        <f aca="false">IF($B263="","",Pengaturan!$C$10+SUMIFS(Transaksi!$J$6:$J262,Transaksi!$G$6:$G262,Pengaturan!$F$19)-SUMIFS(Transaksi!$K$6:$K262,Transaksi!$G$6:$G262,Pengaturan!$F$19))</f>
        <v/>
      </c>
      <c r="I263" s="36" t="str">
        <f aca="false">IF($B263="","",Pengaturan!$C$11+SUMIFS(Transaksi!$J$6:$J262,Transaksi!$G$6:$G262,Pengaturan!$F$20)-SUMIFS(Transaksi!$K$6:$K262,Transaksi!$G$6:$G262,Pengaturan!$F$20))</f>
        <v/>
      </c>
      <c r="J263" s="41" t="str">
        <f aca="false">IF($B263="","",H263+I263)</f>
        <v/>
      </c>
    </row>
    <row r="264" customFormat="false" ht="15" hidden="false" customHeight="false" outlineLevel="0" collapsed="false">
      <c r="B264" s="38" t="str">
        <f aca="false">IF(Transaksi!C263="","",Transaksi!C263)</f>
        <v/>
      </c>
      <c r="C264" s="39" t="str">
        <f aca="false">IF(Transaksi!C263="","",Transaksi!D263)</f>
        <v/>
      </c>
      <c r="D264" s="40" t="str">
        <f aca="false">IF(Transaksi!C263="","",Transaksi!H263)</f>
        <v/>
      </c>
      <c r="E264" s="39" t="str">
        <f aca="false">IF(Transaksi!C263="","",Transaksi!G263)</f>
        <v/>
      </c>
      <c r="F264" s="36" t="str">
        <f aca="false">IF(Transaksi!C263="","",Transaksi!J263)</f>
        <v/>
      </c>
      <c r="G264" s="36" t="str">
        <f aca="false">IF(Transaksi!C263="","",Transaksi!K263)</f>
        <v/>
      </c>
      <c r="H264" s="36" t="str">
        <f aca="false">IF($B264="","",Pengaturan!$C$10+SUMIFS(Transaksi!$J$6:$J263,Transaksi!$G$6:$G263,Pengaturan!$F$19)-SUMIFS(Transaksi!$K$6:$K263,Transaksi!$G$6:$G263,Pengaturan!$F$19))</f>
        <v/>
      </c>
      <c r="I264" s="36" t="str">
        <f aca="false">IF($B264="","",Pengaturan!$C$11+SUMIFS(Transaksi!$J$6:$J263,Transaksi!$G$6:$G263,Pengaturan!$F$20)-SUMIFS(Transaksi!$K$6:$K263,Transaksi!$G$6:$G263,Pengaturan!$F$20))</f>
        <v/>
      </c>
      <c r="J264" s="41" t="str">
        <f aca="false">IF($B264="","",H264+I264)</f>
        <v/>
      </c>
    </row>
    <row r="265" customFormat="false" ht="15" hidden="false" customHeight="false" outlineLevel="0" collapsed="false">
      <c r="B265" s="38" t="str">
        <f aca="false">IF(Transaksi!C264="","",Transaksi!C264)</f>
        <v/>
      </c>
      <c r="C265" s="39" t="str">
        <f aca="false">IF(Transaksi!C264="","",Transaksi!D264)</f>
        <v/>
      </c>
      <c r="D265" s="40" t="str">
        <f aca="false">IF(Transaksi!C264="","",Transaksi!H264)</f>
        <v/>
      </c>
      <c r="E265" s="39" t="str">
        <f aca="false">IF(Transaksi!C264="","",Transaksi!G264)</f>
        <v/>
      </c>
      <c r="F265" s="36" t="str">
        <f aca="false">IF(Transaksi!C264="","",Transaksi!J264)</f>
        <v/>
      </c>
      <c r="G265" s="36" t="str">
        <f aca="false">IF(Transaksi!C264="","",Transaksi!K264)</f>
        <v/>
      </c>
      <c r="H265" s="36" t="str">
        <f aca="false">IF($B265="","",Pengaturan!$C$10+SUMIFS(Transaksi!$J$6:$J264,Transaksi!$G$6:$G264,Pengaturan!$F$19)-SUMIFS(Transaksi!$K$6:$K264,Transaksi!$G$6:$G264,Pengaturan!$F$19))</f>
        <v/>
      </c>
      <c r="I265" s="36" t="str">
        <f aca="false">IF($B265="","",Pengaturan!$C$11+SUMIFS(Transaksi!$J$6:$J264,Transaksi!$G$6:$G264,Pengaturan!$F$20)-SUMIFS(Transaksi!$K$6:$K264,Transaksi!$G$6:$G264,Pengaturan!$F$20))</f>
        <v/>
      </c>
      <c r="J265" s="41" t="str">
        <f aca="false">IF($B265="","",H265+I265)</f>
        <v/>
      </c>
    </row>
    <row r="266" customFormat="false" ht="15" hidden="false" customHeight="false" outlineLevel="0" collapsed="false">
      <c r="B266" s="38" t="str">
        <f aca="false">IF(Transaksi!C265="","",Transaksi!C265)</f>
        <v/>
      </c>
      <c r="C266" s="39" t="str">
        <f aca="false">IF(Transaksi!C265="","",Transaksi!D265)</f>
        <v/>
      </c>
      <c r="D266" s="40" t="str">
        <f aca="false">IF(Transaksi!C265="","",Transaksi!H265)</f>
        <v/>
      </c>
      <c r="E266" s="39" t="str">
        <f aca="false">IF(Transaksi!C265="","",Transaksi!G265)</f>
        <v/>
      </c>
      <c r="F266" s="36" t="str">
        <f aca="false">IF(Transaksi!C265="","",Transaksi!J265)</f>
        <v/>
      </c>
      <c r="G266" s="36" t="str">
        <f aca="false">IF(Transaksi!C265="","",Transaksi!K265)</f>
        <v/>
      </c>
      <c r="H266" s="36" t="str">
        <f aca="false">IF($B266="","",Pengaturan!$C$10+SUMIFS(Transaksi!$J$6:$J265,Transaksi!$G$6:$G265,Pengaturan!$F$19)-SUMIFS(Transaksi!$K$6:$K265,Transaksi!$G$6:$G265,Pengaturan!$F$19))</f>
        <v/>
      </c>
      <c r="I266" s="36" t="str">
        <f aca="false">IF($B266="","",Pengaturan!$C$11+SUMIFS(Transaksi!$J$6:$J265,Transaksi!$G$6:$G265,Pengaturan!$F$20)-SUMIFS(Transaksi!$K$6:$K265,Transaksi!$G$6:$G265,Pengaturan!$F$20))</f>
        <v/>
      </c>
      <c r="J266" s="41" t="str">
        <f aca="false">IF($B266="","",H266+I266)</f>
        <v/>
      </c>
    </row>
    <row r="267" customFormat="false" ht="15" hidden="false" customHeight="false" outlineLevel="0" collapsed="false">
      <c r="B267" s="38" t="str">
        <f aca="false">IF(Transaksi!C266="","",Transaksi!C266)</f>
        <v/>
      </c>
      <c r="C267" s="39" t="str">
        <f aca="false">IF(Transaksi!C266="","",Transaksi!D266)</f>
        <v/>
      </c>
      <c r="D267" s="40" t="str">
        <f aca="false">IF(Transaksi!C266="","",Transaksi!H266)</f>
        <v/>
      </c>
      <c r="E267" s="39" t="str">
        <f aca="false">IF(Transaksi!C266="","",Transaksi!G266)</f>
        <v/>
      </c>
      <c r="F267" s="36" t="str">
        <f aca="false">IF(Transaksi!C266="","",Transaksi!J266)</f>
        <v/>
      </c>
      <c r="G267" s="36" t="str">
        <f aca="false">IF(Transaksi!C266="","",Transaksi!K266)</f>
        <v/>
      </c>
      <c r="H267" s="36" t="str">
        <f aca="false">IF($B267="","",Pengaturan!$C$10+SUMIFS(Transaksi!$J$6:$J266,Transaksi!$G$6:$G266,Pengaturan!$F$19)-SUMIFS(Transaksi!$K$6:$K266,Transaksi!$G$6:$G266,Pengaturan!$F$19))</f>
        <v/>
      </c>
      <c r="I267" s="36" t="str">
        <f aca="false">IF($B267="","",Pengaturan!$C$11+SUMIFS(Transaksi!$J$6:$J266,Transaksi!$G$6:$G266,Pengaturan!$F$20)-SUMIFS(Transaksi!$K$6:$K266,Transaksi!$G$6:$G266,Pengaturan!$F$20))</f>
        <v/>
      </c>
      <c r="J267" s="41" t="str">
        <f aca="false">IF($B267="","",H267+I267)</f>
        <v/>
      </c>
    </row>
    <row r="268" customFormat="false" ht="15" hidden="false" customHeight="false" outlineLevel="0" collapsed="false">
      <c r="B268" s="38" t="str">
        <f aca="false">IF(Transaksi!C267="","",Transaksi!C267)</f>
        <v/>
      </c>
      <c r="C268" s="39" t="str">
        <f aca="false">IF(Transaksi!C267="","",Transaksi!D267)</f>
        <v/>
      </c>
      <c r="D268" s="40" t="str">
        <f aca="false">IF(Transaksi!C267="","",Transaksi!H267)</f>
        <v/>
      </c>
      <c r="E268" s="39" t="str">
        <f aca="false">IF(Transaksi!C267="","",Transaksi!G267)</f>
        <v/>
      </c>
      <c r="F268" s="36" t="str">
        <f aca="false">IF(Transaksi!C267="","",Transaksi!J267)</f>
        <v/>
      </c>
      <c r="G268" s="36" t="str">
        <f aca="false">IF(Transaksi!C267="","",Transaksi!K267)</f>
        <v/>
      </c>
      <c r="H268" s="36" t="str">
        <f aca="false">IF($B268="","",Pengaturan!$C$10+SUMIFS(Transaksi!$J$6:$J267,Transaksi!$G$6:$G267,Pengaturan!$F$19)-SUMIFS(Transaksi!$K$6:$K267,Transaksi!$G$6:$G267,Pengaturan!$F$19))</f>
        <v/>
      </c>
      <c r="I268" s="36" t="str">
        <f aca="false">IF($B268="","",Pengaturan!$C$11+SUMIFS(Transaksi!$J$6:$J267,Transaksi!$G$6:$G267,Pengaturan!$F$20)-SUMIFS(Transaksi!$K$6:$K267,Transaksi!$G$6:$G267,Pengaturan!$F$20))</f>
        <v/>
      </c>
      <c r="J268" s="41" t="str">
        <f aca="false">IF($B268="","",H268+I268)</f>
        <v/>
      </c>
    </row>
    <row r="269" customFormat="false" ht="15" hidden="false" customHeight="false" outlineLevel="0" collapsed="false">
      <c r="B269" s="38" t="str">
        <f aca="false">IF(Transaksi!C268="","",Transaksi!C268)</f>
        <v/>
      </c>
      <c r="C269" s="39" t="str">
        <f aca="false">IF(Transaksi!C268="","",Transaksi!D268)</f>
        <v/>
      </c>
      <c r="D269" s="40" t="str">
        <f aca="false">IF(Transaksi!C268="","",Transaksi!H268)</f>
        <v/>
      </c>
      <c r="E269" s="39" t="str">
        <f aca="false">IF(Transaksi!C268="","",Transaksi!G268)</f>
        <v/>
      </c>
      <c r="F269" s="36" t="str">
        <f aca="false">IF(Transaksi!C268="","",Transaksi!J268)</f>
        <v/>
      </c>
      <c r="G269" s="36" t="str">
        <f aca="false">IF(Transaksi!C268="","",Transaksi!K268)</f>
        <v/>
      </c>
      <c r="H269" s="36" t="str">
        <f aca="false">IF($B269="","",Pengaturan!$C$10+SUMIFS(Transaksi!$J$6:$J268,Transaksi!$G$6:$G268,Pengaturan!$F$19)-SUMIFS(Transaksi!$K$6:$K268,Transaksi!$G$6:$G268,Pengaturan!$F$19))</f>
        <v/>
      </c>
      <c r="I269" s="36" t="str">
        <f aca="false">IF($B269="","",Pengaturan!$C$11+SUMIFS(Transaksi!$J$6:$J268,Transaksi!$G$6:$G268,Pengaturan!$F$20)-SUMIFS(Transaksi!$K$6:$K268,Transaksi!$G$6:$G268,Pengaturan!$F$20))</f>
        <v/>
      </c>
      <c r="J269" s="41" t="str">
        <f aca="false">IF($B269="","",H269+I269)</f>
        <v/>
      </c>
    </row>
    <row r="270" customFormat="false" ht="15" hidden="false" customHeight="false" outlineLevel="0" collapsed="false">
      <c r="B270" s="38" t="str">
        <f aca="false">IF(Transaksi!C269="","",Transaksi!C269)</f>
        <v/>
      </c>
      <c r="C270" s="39" t="str">
        <f aca="false">IF(Transaksi!C269="","",Transaksi!D269)</f>
        <v/>
      </c>
      <c r="D270" s="40" t="str">
        <f aca="false">IF(Transaksi!C269="","",Transaksi!H269)</f>
        <v/>
      </c>
      <c r="E270" s="39" t="str">
        <f aca="false">IF(Transaksi!C269="","",Transaksi!G269)</f>
        <v/>
      </c>
      <c r="F270" s="36" t="str">
        <f aca="false">IF(Transaksi!C269="","",Transaksi!J269)</f>
        <v/>
      </c>
      <c r="G270" s="36" t="str">
        <f aca="false">IF(Transaksi!C269="","",Transaksi!K269)</f>
        <v/>
      </c>
      <c r="H270" s="36" t="str">
        <f aca="false">IF($B270="","",Pengaturan!$C$10+SUMIFS(Transaksi!$J$6:$J269,Transaksi!$G$6:$G269,Pengaturan!$F$19)-SUMIFS(Transaksi!$K$6:$K269,Transaksi!$G$6:$G269,Pengaturan!$F$19))</f>
        <v/>
      </c>
      <c r="I270" s="36" t="str">
        <f aca="false">IF($B270="","",Pengaturan!$C$11+SUMIFS(Transaksi!$J$6:$J269,Transaksi!$G$6:$G269,Pengaturan!$F$20)-SUMIFS(Transaksi!$K$6:$K269,Transaksi!$G$6:$G269,Pengaturan!$F$20))</f>
        <v/>
      </c>
      <c r="J270" s="41" t="str">
        <f aca="false">IF($B270="","",H270+I270)</f>
        <v/>
      </c>
    </row>
    <row r="271" customFormat="false" ht="15" hidden="false" customHeight="false" outlineLevel="0" collapsed="false">
      <c r="B271" s="38" t="str">
        <f aca="false">IF(Transaksi!C270="","",Transaksi!C270)</f>
        <v/>
      </c>
      <c r="C271" s="39" t="str">
        <f aca="false">IF(Transaksi!C270="","",Transaksi!D270)</f>
        <v/>
      </c>
      <c r="D271" s="40" t="str">
        <f aca="false">IF(Transaksi!C270="","",Transaksi!H270)</f>
        <v/>
      </c>
      <c r="E271" s="39" t="str">
        <f aca="false">IF(Transaksi!C270="","",Transaksi!G270)</f>
        <v/>
      </c>
      <c r="F271" s="36" t="str">
        <f aca="false">IF(Transaksi!C270="","",Transaksi!J270)</f>
        <v/>
      </c>
      <c r="G271" s="36" t="str">
        <f aca="false">IF(Transaksi!C270="","",Transaksi!K270)</f>
        <v/>
      </c>
      <c r="H271" s="36" t="str">
        <f aca="false">IF($B271="","",Pengaturan!$C$10+SUMIFS(Transaksi!$J$6:$J270,Transaksi!$G$6:$G270,Pengaturan!$F$19)-SUMIFS(Transaksi!$K$6:$K270,Transaksi!$G$6:$G270,Pengaturan!$F$19))</f>
        <v/>
      </c>
      <c r="I271" s="36" t="str">
        <f aca="false">IF($B271="","",Pengaturan!$C$11+SUMIFS(Transaksi!$J$6:$J270,Transaksi!$G$6:$G270,Pengaturan!$F$20)-SUMIFS(Transaksi!$K$6:$K270,Transaksi!$G$6:$G270,Pengaturan!$F$20))</f>
        <v/>
      </c>
      <c r="J271" s="41" t="str">
        <f aca="false">IF($B271="","",H271+I271)</f>
        <v/>
      </c>
    </row>
    <row r="272" customFormat="false" ht="15" hidden="false" customHeight="false" outlineLevel="0" collapsed="false">
      <c r="B272" s="38" t="str">
        <f aca="false">IF(Transaksi!C271="","",Transaksi!C271)</f>
        <v/>
      </c>
      <c r="C272" s="39" t="str">
        <f aca="false">IF(Transaksi!C271="","",Transaksi!D271)</f>
        <v/>
      </c>
      <c r="D272" s="40" t="str">
        <f aca="false">IF(Transaksi!C271="","",Transaksi!H271)</f>
        <v/>
      </c>
      <c r="E272" s="39" t="str">
        <f aca="false">IF(Transaksi!C271="","",Transaksi!G271)</f>
        <v/>
      </c>
      <c r="F272" s="36" t="str">
        <f aca="false">IF(Transaksi!C271="","",Transaksi!J271)</f>
        <v/>
      </c>
      <c r="G272" s="36" t="str">
        <f aca="false">IF(Transaksi!C271="","",Transaksi!K271)</f>
        <v/>
      </c>
      <c r="H272" s="36" t="str">
        <f aca="false">IF($B272="","",Pengaturan!$C$10+SUMIFS(Transaksi!$J$6:$J271,Transaksi!$G$6:$G271,Pengaturan!$F$19)-SUMIFS(Transaksi!$K$6:$K271,Transaksi!$G$6:$G271,Pengaturan!$F$19))</f>
        <v/>
      </c>
      <c r="I272" s="36" t="str">
        <f aca="false">IF($B272="","",Pengaturan!$C$11+SUMIFS(Transaksi!$J$6:$J271,Transaksi!$G$6:$G271,Pengaturan!$F$20)-SUMIFS(Transaksi!$K$6:$K271,Transaksi!$G$6:$G271,Pengaturan!$F$20))</f>
        <v/>
      </c>
      <c r="J272" s="41" t="str">
        <f aca="false">IF($B272="","",H272+I272)</f>
        <v/>
      </c>
    </row>
    <row r="273" customFormat="false" ht="15" hidden="false" customHeight="false" outlineLevel="0" collapsed="false">
      <c r="B273" s="38" t="str">
        <f aca="false">IF(Transaksi!C272="","",Transaksi!C272)</f>
        <v/>
      </c>
      <c r="C273" s="39" t="str">
        <f aca="false">IF(Transaksi!C272="","",Transaksi!D272)</f>
        <v/>
      </c>
      <c r="D273" s="40" t="str">
        <f aca="false">IF(Transaksi!C272="","",Transaksi!H272)</f>
        <v/>
      </c>
      <c r="E273" s="39" t="str">
        <f aca="false">IF(Transaksi!C272="","",Transaksi!G272)</f>
        <v/>
      </c>
      <c r="F273" s="36" t="str">
        <f aca="false">IF(Transaksi!C272="","",Transaksi!J272)</f>
        <v/>
      </c>
      <c r="G273" s="36" t="str">
        <f aca="false">IF(Transaksi!C272="","",Transaksi!K272)</f>
        <v/>
      </c>
      <c r="H273" s="36" t="str">
        <f aca="false">IF($B273="","",Pengaturan!$C$10+SUMIFS(Transaksi!$J$6:$J272,Transaksi!$G$6:$G272,Pengaturan!$F$19)-SUMIFS(Transaksi!$K$6:$K272,Transaksi!$G$6:$G272,Pengaturan!$F$19))</f>
        <v/>
      </c>
      <c r="I273" s="36" t="str">
        <f aca="false">IF($B273="","",Pengaturan!$C$11+SUMIFS(Transaksi!$J$6:$J272,Transaksi!$G$6:$G272,Pengaturan!$F$20)-SUMIFS(Transaksi!$K$6:$K272,Transaksi!$G$6:$G272,Pengaturan!$F$20))</f>
        <v/>
      </c>
      <c r="J273" s="41" t="str">
        <f aca="false">IF($B273="","",H273+I273)</f>
        <v/>
      </c>
    </row>
    <row r="274" customFormat="false" ht="15" hidden="false" customHeight="false" outlineLevel="0" collapsed="false">
      <c r="B274" s="38" t="str">
        <f aca="false">IF(Transaksi!C273="","",Transaksi!C273)</f>
        <v/>
      </c>
      <c r="C274" s="39" t="str">
        <f aca="false">IF(Transaksi!C273="","",Transaksi!D273)</f>
        <v/>
      </c>
      <c r="D274" s="40" t="str">
        <f aca="false">IF(Transaksi!C273="","",Transaksi!H273)</f>
        <v/>
      </c>
      <c r="E274" s="39" t="str">
        <f aca="false">IF(Transaksi!C273="","",Transaksi!G273)</f>
        <v/>
      </c>
      <c r="F274" s="36" t="str">
        <f aca="false">IF(Transaksi!C273="","",Transaksi!J273)</f>
        <v/>
      </c>
      <c r="G274" s="36" t="str">
        <f aca="false">IF(Transaksi!C273="","",Transaksi!K273)</f>
        <v/>
      </c>
      <c r="H274" s="36" t="str">
        <f aca="false">IF($B274="","",Pengaturan!$C$10+SUMIFS(Transaksi!$J$6:$J273,Transaksi!$G$6:$G273,Pengaturan!$F$19)-SUMIFS(Transaksi!$K$6:$K273,Transaksi!$G$6:$G273,Pengaturan!$F$19))</f>
        <v/>
      </c>
      <c r="I274" s="36" t="str">
        <f aca="false">IF($B274="","",Pengaturan!$C$11+SUMIFS(Transaksi!$J$6:$J273,Transaksi!$G$6:$G273,Pengaturan!$F$20)-SUMIFS(Transaksi!$K$6:$K273,Transaksi!$G$6:$G273,Pengaturan!$F$20))</f>
        <v/>
      </c>
      <c r="J274" s="41" t="str">
        <f aca="false">IF($B274="","",H274+I274)</f>
        <v/>
      </c>
    </row>
    <row r="275" customFormat="false" ht="15" hidden="false" customHeight="false" outlineLevel="0" collapsed="false">
      <c r="B275" s="38" t="str">
        <f aca="false">IF(Transaksi!C274="","",Transaksi!C274)</f>
        <v/>
      </c>
      <c r="C275" s="39" t="str">
        <f aca="false">IF(Transaksi!C274="","",Transaksi!D274)</f>
        <v/>
      </c>
      <c r="D275" s="40" t="str">
        <f aca="false">IF(Transaksi!C274="","",Transaksi!H274)</f>
        <v/>
      </c>
      <c r="E275" s="39" t="str">
        <f aca="false">IF(Transaksi!C274="","",Transaksi!G274)</f>
        <v/>
      </c>
      <c r="F275" s="36" t="str">
        <f aca="false">IF(Transaksi!C274="","",Transaksi!J274)</f>
        <v/>
      </c>
      <c r="G275" s="36" t="str">
        <f aca="false">IF(Transaksi!C274="","",Transaksi!K274)</f>
        <v/>
      </c>
      <c r="H275" s="36" t="str">
        <f aca="false">IF($B275="","",Pengaturan!$C$10+SUMIFS(Transaksi!$J$6:$J274,Transaksi!$G$6:$G274,Pengaturan!$F$19)-SUMIFS(Transaksi!$K$6:$K274,Transaksi!$G$6:$G274,Pengaturan!$F$19))</f>
        <v/>
      </c>
      <c r="I275" s="36" t="str">
        <f aca="false">IF($B275="","",Pengaturan!$C$11+SUMIFS(Transaksi!$J$6:$J274,Transaksi!$G$6:$G274,Pengaturan!$F$20)-SUMIFS(Transaksi!$K$6:$K274,Transaksi!$G$6:$G274,Pengaturan!$F$20))</f>
        <v/>
      </c>
      <c r="J275" s="41" t="str">
        <f aca="false">IF($B275="","",H275+I275)</f>
        <v/>
      </c>
    </row>
    <row r="276" customFormat="false" ht="15" hidden="false" customHeight="false" outlineLevel="0" collapsed="false">
      <c r="B276" s="38" t="str">
        <f aca="false">IF(Transaksi!C275="","",Transaksi!C275)</f>
        <v/>
      </c>
      <c r="C276" s="39" t="str">
        <f aca="false">IF(Transaksi!C275="","",Transaksi!D275)</f>
        <v/>
      </c>
      <c r="D276" s="40" t="str">
        <f aca="false">IF(Transaksi!C275="","",Transaksi!H275)</f>
        <v/>
      </c>
      <c r="E276" s="39" t="str">
        <f aca="false">IF(Transaksi!C275="","",Transaksi!G275)</f>
        <v/>
      </c>
      <c r="F276" s="36" t="str">
        <f aca="false">IF(Transaksi!C275="","",Transaksi!J275)</f>
        <v/>
      </c>
      <c r="G276" s="36" t="str">
        <f aca="false">IF(Transaksi!C275="","",Transaksi!K275)</f>
        <v/>
      </c>
      <c r="H276" s="36" t="str">
        <f aca="false">IF($B276="","",Pengaturan!$C$10+SUMIFS(Transaksi!$J$6:$J275,Transaksi!$G$6:$G275,Pengaturan!$F$19)-SUMIFS(Transaksi!$K$6:$K275,Transaksi!$G$6:$G275,Pengaturan!$F$19))</f>
        <v/>
      </c>
      <c r="I276" s="36" t="str">
        <f aca="false">IF($B276="","",Pengaturan!$C$11+SUMIFS(Transaksi!$J$6:$J275,Transaksi!$G$6:$G275,Pengaturan!$F$20)-SUMIFS(Transaksi!$K$6:$K275,Transaksi!$G$6:$G275,Pengaturan!$F$20))</f>
        <v/>
      </c>
      <c r="J276" s="41" t="str">
        <f aca="false">IF($B276="","",H276+I276)</f>
        <v/>
      </c>
    </row>
    <row r="277" customFormat="false" ht="15" hidden="false" customHeight="false" outlineLevel="0" collapsed="false">
      <c r="B277" s="38" t="str">
        <f aca="false">IF(Transaksi!C276="","",Transaksi!C276)</f>
        <v/>
      </c>
      <c r="C277" s="39" t="str">
        <f aca="false">IF(Transaksi!C276="","",Transaksi!D276)</f>
        <v/>
      </c>
      <c r="D277" s="40" t="str">
        <f aca="false">IF(Transaksi!C276="","",Transaksi!H276)</f>
        <v/>
      </c>
      <c r="E277" s="39" t="str">
        <f aca="false">IF(Transaksi!C276="","",Transaksi!G276)</f>
        <v/>
      </c>
      <c r="F277" s="36" t="str">
        <f aca="false">IF(Transaksi!C276="","",Transaksi!J276)</f>
        <v/>
      </c>
      <c r="G277" s="36" t="str">
        <f aca="false">IF(Transaksi!C276="","",Transaksi!K276)</f>
        <v/>
      </c>
      <c r="H277" s="36" t="str">
        <f aca="false">IF($B277="","",Pengaturan!$C$10+SUMIFS(Transaksi!$J$6:$J276,Transaksi!$G$6:$G276,Pengaturan!$F$19)-SUMIFS(Transaksi!$K$6:$K276,Transaksi!$G$6:$G276,Pengaturan!$F$19))</f>
        <v/>
      </c>
      <c r="I277" s="36" t="str">
        <f aca="false">IF($B277="","",Pengaturan!$C$11+SUMIFS(Transaksi!$J$6:$J276,Transaksi!$G$6:$G276,Pengaturan!$F$20)-SUMIFS(Transaksi!$K$6:$K276,Transaksi!$G$6:$G276,Pengaturan!$F$20))</f>
        <v/>
      </c>
      <c r="J277" s="41" t="str">
        <f aca="false">IF($B277="","",H277+I277)</f>
        <v/>
      </c>
    </row>
    <row r="278" customFormat="false" ht="15" hidden="false" customHeight="false" outlineLevel="0" collapsed="false">
      <c r="B278" s="38" t="str">
        <f aca="false">IF(Transaksi!C277="","",Transaksi!C277)</f>
        <v/>
      </c>
      <c r="C278" s="39" t="str">
        <f aca="false">IF(Transaksi!C277="","",Transaksi!D277)</f>
        <v/>
      </c>
      <c r="D278" s="40" t="str">
        <f aca="false">IF(Transaksi!C277="","",Transaksi!H277)</f>
        <v/>
      </c>
      <c r="E278" s="39" t="str">
        <f aca="false">IF(Transaksi!C277="","",Transaksi!G277)</f>
        <v/>
      </c>
      <c r="F278" s="36" t="str">
        <f aca="false">IF(Transaksi!C277="","",Transaksi!J277)</f>
        <v/>
      </c>
      <c r="G278" s="36" t="str">
        <f aca="false">IF(Transaksi!C277="","",Transaksi!K277)</f>
        <v/>
      </c>
      <c r="H278" s="36" t="str">
        <f aca="false">IF($B278="","",Pengaturan!$C$10+SUMIFS(Transaksi!$J$6:$J277,Transaksi!$G$6:$G277,Pengaturan!$F$19)-SUMIFS(Transaksi!$K$6:$K277,Transaksi!$G$6:$G277,Pengaturan!$F$19))</f>
        <v/>
      </c>
      <c r="I278" s="36" t="str">
        <f aca="false">IF($B278="","",Pengaturan!$C$11+SUMIFS(Transaksi!$J$6:$J277,Transaksi!$G$6:$G277,Pengaturan!$F$20)-SUMIFS(Transaksi!$K$6:$K277,Transaksi!$G$6:$G277,Pengaturan!$F$20))</f>
        <v/>
      </c>
      <c r="J278" s="41" t="str">
        <f aca="false">IF($B278="","",H278+I278)</f>
        <v/>
      </c>
    </row>
    <row r="279" customFormat="false" ht="15" hidden="false" customHeight="false" outlineLevel="0" collapsed="false">
      <c r="B279" s="38" t="str">
        <f aca="false">IF(Transaksi!C278="","",Transaksi!C278)</f>
        <v/>
      </c>
      <c r="C279" s="39" t="str">
        <f aca="false">IF(Transaksi!C278="","",Transaksi!D278)</f>
        <v/>
      </c>
      <c r="D279" s="40" t="str">
        <f aca="false">IF(Transaksi!C278="","",Transaksi!H278)</f>
        <v/>
      </c>
      <c r="E279" s="39" t="str">
        <f aca="false">IF(Transaksi!C278="","",Transaksi!G278)</f>
        <v/>
      </c>
      <c r="F279" s="36" t="str">
        <f aca="false">IF(Transaksi!C278="","",Transaksi!J278)</f>
        <v/>
      </c>
      <c r="G279" s="36" t="str">
        <f aca="false">IF(Transaksi!C278="","",Transaksi!K278)</f>
        <v/>
      </c>
      <c r="H279" s="36" t="str">
        <f aca="false">IF($B279="","",Pengaturan!$C$10+SUMIFS(Transaksi!$J$6:$J278,Transaksi!$G$6:$G278,Pengaturan!$F$19)-SUMIFS(Transaksi!$K$6:$K278,Transaksi!$G$6:$G278,Pengaturan!$F$19))</f>
        <v/>
      </c>
      <c r="I279" s="36" t="str">
        <f aca="false">IF($B279="","",Pengaturan!$C$11+SUMIFS(Transaksi!$J$6:$J278,Transaksi!$G$6:$G278,Pengaturan!$F$20)-SUMIFS(Transaksi!$K$6:$K278,Transaksi!$G$6:$G278,Pengaturan!$F$20))</f>
        <v/>
      </c>
      <c r="J279" s="41" t="str">
        <f aca="false">IF($B279="","",H279+I279)</f>
        <v/>
      </c>
    </row>
    <row r="280" customFormat="false" ht="15" hidden="false" customHeight="false" outlineLevel="0" collapsed="false">
      <c r="B280" s="38" t="str">
        <f aca="false">IF(Transaksi!C279="","",Transaksi!C279)</f>
        <v/>
      </c>
      <c r="C280" s="39" t="str">
        <f aca="false">IF(Transaksi!C279="","",Transaksi!D279)</f>
        <v/>
      </c>
      <c r="D280" s="40" t="str">
        <f aca="false">IF(Transaksi!C279="","",Transaksi!H279)</f>
        <v/>
      </c>
      <c r="E280" s="39" t="str">
        <f aca="false">IF(Transaksi!C279="","",Transaksi!G279)</f>
        <v/>
      </c>
      <c r="F280" s="36" t="str">
        <f aca="false">IF(Transaksi!C279="","",Transaksi!J279)</f>
        <v/>
      </c>
      <c r="G280" s="36" t="str">
        <f aca="false">IF(Transaksi!C279="","",Transaksi!K279)</f>
        <v/>
      </c>
      <c r="H280" s="36" t="str">
        <f aca="false">IF($B280="","",Pengaturan!$C$10+SUMIFS(Transaksi!$J$6:$J279,Transaksi!$G$6:$G279,Pengaturan!$F$19)-SUMIFS(Transaksi!$K$6:$K279,Transaksi!$G$6:$G279,Pengaturan!$F$19))</f>
        <v/>
      </c>
      <c r="I280" s="36" t="str">
        <f aca="false">IF($B280="","",Pengaturan!$C$11+SUMIFS(Transaksi!$J$6:$J279,Transaksi!$G$6:$G279,Pengaturan!$F$20)-SUMIFS(Transaksi!$K$6:$K279,Transaksi!$G$6:$G279,Pengaturan!$F$20))</f>
        <v/>
      </c>
      <c r="J280" s="41" t="str">
        <f aca="false">IF($B280="","",H280+I280)</f>
        <v/>
      </c>
    </row>
    <row r="281" customFormat="false" ht="15" hidden="false" customHeight="false" outlineLevel="0" collapsed="false">
      <c r="B281" s="38" t="str">
        <f aca="false">IF(Transaksi!C280="","",Transaksi!C280)</f>
        <v/>
      </c>
      <c r="C281" s="39" t="str">
        <f aca="false">IF(Transaksi!C280="","",Transaksi!D280)</f>
        <v/>
      </c>
      <c r="D281" s="40" t="str">
        <f aca="false">IF(Transaksi!C280="","",Transaksi!H280)</f>
        <v/>
      </c>
      <c r="E281" s="39" t="str">
        <f aca="false">IF(Transaksi!C280="","",Transaksi!G280)</f>
        <v/>
      </c>
      <c r="F281" s="36" t="str">
        <f aca="false">IF(Transaksi!C280="","",Transaksi!J280)</f>
        <v/>
      </c>
      <c r="G281" s="36" t="str">
        <f aca="false">IF(Transaksi!C280="","",Transaksi!K280)</f>
        <v/>
      </c>
      <c r="H281" s="36" t="str">
        <f aca="false">IF($B281="","",Pengaturan!$C$10+SUMIFS(Transaksi!$J$6:$J280,Transaksi!$G$6:$G280,Pengaturan!$F$19)-SUMIFS(Transaksi!$K$6:$K280,Transaksi!$G$6:$G280,Pengaturan!$F$19))</f>
        <v/>
      </c>
      <c r="I281" s="36" t="str">
        <f aca="false">IF($B281="","",Pengaturan!$C$11+SUMIFS(Transaksi!$J$6:$J280,Transaksi!$G$6:$G280,Pengaturan!$F$20)-SUMIFS(Transaksi!$K$6:$K280,Transaksi!$G$6:$G280,Pengaturan!$F$20))</f>
        <v/>
      </c>
      <c r="J281" s="41" t="str">
        <f aca="false">IF($B281="","",H281+I281)</f>
        <v/>
      </c>
    </row>
    <row r="282" customFormat="false" ht="15" hidden="false" customHeight="false" outlineLevel="0" collapsed="false">
      <c r="B282" s="38" t="str">
        <f aca="false">IF(Transaksi!C281="","",Transaksi!C281)</f>
        <v/>
      </c>
      <c r="C282" s="39" t="str">
        <f aca="false">IF(Transaksi!C281="","",Transaksi!D281)</f>
        <v/>
      </c>
      <c r="D282" s="40" t="str">
        <f aca="false">IF(Transaksi!C281="","",Transaksi!H281)</f>
        <v/>
      </c>
      <c r="E282" s="39" t="str">
        <f aca="false">IF(Transaksi!C281="","",Transaksi!G281)</f>
        <v/>
      </c>
      <c r="F282" s="36" t="str">
        <f aca="false">IF(Transaksi!C281="","",Transaksi!J281)</f>
        <v/>
      </c>
      <c r="G282" s="36" t="str">
        <f aca="false">IF(Transaksi!C281="","",Transaksi!K281)</f>
        <v/>
      </c>
      <c r="H282" s="36" t="str">
        <f aca="false">IF($B282="","",Pengaturan!$C$10+SUMIFS(Transaksi!$J$6:$J281,Transaksi!$G$6:$G281,Pengaturan!$F$19)-SUMIFS(Transaksi!$K$6:$K281,Transaksi!$G$6:$G281,Pengaturan!$F$19))</f>
        <v/>
      </c>
      <c r="I282" s="36" t="str">
        <f aca="false">IF($B282="","",Pengaturan!$C$11+SUMIFS(Transaksi!$J$6:$J281,Transaksi!$G$6:$G281,Pengaturan!$F$20)-SUMIFS(Transaksi!$K$6:$K281,Transaksi!$G$6:$G281,Pengaturan!$F$20))</f>
        <v/>
      </c>
      <c r="J282" s="41" t="str">
        <f aca="false">IF($B282="","",H282+I282)</f>
        <v/>
      </c>
    </row>
    <row r="283" customFormat="false" ht="15" hidden="false" customHeight="false" outlineLevel="0" collapsed="false">
      <c r="B283" s="38" t="str">
        <f aca="false">IF(Transaksi!C282="","",Transaksi!C282)</f>
        <v/>
      </c>
      <c r="C283" s="39" t="str">
        <f aca="false">IF(Transaksi!C282="","",Transaksi!D282)</f>
        <v/>
      </c>
      <c r="D283" s="40" t="str">
        <f aca="false">IF(Transaksi!C282="","",Transaksi!H282)</f>
        <v/>
      </c>
      <c r="E283" s="39" t="str">
        <f aca="false">IF(Transaksi!C282="","",Transaksi!G282)</f>
        <v/>
      </c>
      <c r="F283" s="36" t="str">
        <f aca="false">IF(Transaksi!C282="","",Transaksi!J282)</f>
        <v/>
      </c>
      <c r="G283" s="36" t="str">
        <f aca="false">IF(Transaksi!C282="","",Transaksi!K282)</f>
        <v/>
      </c>
      <c r="H283" s="36" t="str">
        <f aca="false">IF($B283="","",Pengaturan!$C$10+SUMIFS(Transaksi!$J$6:$J282,Transaksi!$G$6:$G282,Pengaturan!$F$19)-SUMIFS(Transaksi!$K$6:$K282,Transaksi!$G$6:$G282,Pengaturan!$F$19))</f>
        <v/>
      </c>
      <c r="I283" s="36" t="str">
        <f aca="false">IF($B283="","",Pengaturan!$C$11+SUMIFS(Transaksi!$J$6:$J282,Transaksi!$G$6:$G282,Pengaturan!$F$20)-SUMIFS(Transaksi!$K$6:$K282,Transaksi!$G$6:$G282,Pengaturan!$F$20))</f>
        <v/>
      </c>
      <c r="J283" s="41" t="str">
        <f aca="false">IF($B283="","",H283+I283)</f>
        <v/>
      </c>
    </row>
    <row r="284" customFormat="false" ht="15" hidden="false" customHeight="false" outlineLevel="0" collapsed="false">
      <c r="B284" s="38" t="str">
        <f aca="false">IF(Transaksi!C283="","",Transaksi!C283)</f>
        <v/>
      </c>
      <c r="C284" s="39" t="str">
        <f aca="false">IF(Transaksi!C283="","",Transaksi!D283)</f>
        <v/>
      </c>
      <c r="D284" s="40" t="str">
        <f aca="false">IF(Transaksi!C283="","",Transaksi!H283)</f>
        <v/>
      </c>
      <c r="E284" s="39" t="str">
        <f aca="false">IF(Transaksi!C283="","",Transaksi!G283)</f>
        <v/>
      </c>
      <c r="F284" s="36" t="str">
        <f aca="false">IF(Transaksi!C283="","",Transaksi!J283)</f>
        <v/>
      </c>
      <c r="G284" s="36" t="str">
        <f aca="false">IF(Transaksi!C283="","",Transaksi!K283)</f>
        <v/>
      </c>
      <c r="H284" s="36" t="str">
        <f aca="false">IF($B284="","",Pengaturan!$C$10+SUMIFS(Transaksi!$J$6:$J283,Transaksi!$G$6:$G283,Pengaturan!$F$19)-SUMIFS(Transaksi!$K$6:$K283,Transaksi!$G$6:$G283,Pengaturan!$F$19))</f>
        <v/>
      </c>
      <c r="I284" s="36" t="str">
        <f aca="false">IF($B284="","",Pengaturan!$C$11+SUMIFS(Transaksi!$J$6:$J283,Transaksi!$G$6:$G283,Pengaturan!$F$20)-SUMIFS(Transaksi!$K$6:$K283,Transaksi!$G$6:$G283,Pengaturan!$F$20))</f>
        <v/>
      </c>
      <c r="J284" s="41" t="str">
        <f aca="false">IF($B284="","",H284+I284)</f>
        <v/>
      </c>
    </row>
    <row r="285" customFormat="false" ht="15" hidden="false" customHeight="false" outlineLevel="0" collapsed="false">
      <c r="B285" s="38" t="str">
        <f aca="false">IF(Transaksi!C284="","",Transaksi!C284)</f>
        <v/>
      </c>
      <c r="C285" s="39" t="str">
        <f aca="false">IF(Transaksi!C284="","",Transaksi!D284)</f>
        <v/>
      </c>
      <c r="D285" s="40" t="str">
        <f aca="false">IF(Transaksi!C284="","",Transaksi!H284)</f>
        <v/>
      </c>
      <c r="E285" s="39" t="str">
        <f aca="false">IF(Transaksi!C284="","",Transaksi!G284)</f>
        <v/>
      </c>
      <c r="F285" s="36" t="str">
        <f aca="false">IF(Transaksi!C284="","",Transaksi!J284)</f>
        <v/>
      </c>
      <c r="G285" s="36" t="str">
        <f aca="false">IF(Transaksi!C284="","",Transaksi!K284)</f>
        <v/>
      </c>
      <c r="H285" s="36" t="str">
        <f aca="false">IF($B285="","",Pengaturan!$C$10+SUMIFS(Transaksi!$J$6:$J284,Transaksi!$G$6:$G284,Pengaturan!$F$19)-SUMIFS(Transaksi!$K$6:$K284,Transaksi!$G$6:$G284,Pengaturan!$F$19))</f>
        <v/>
      </c>
      <c r="I285" s="36" t="str">
        <f aca="false">IF($B285="","",Pengaturan!$C$11+SUMIFS(Transaksi!$J$6:$J284,Transaksi!$G$6:$G284,Pengaturan!$F$20)-SUMIFS(Transaksi!$K$6:$K284,Transaksi!$G$6:$G284,Pengaturan!$F$20))</f>
        <v/>
      </c>
      <c r="J285" s="41" t="str">
        <f aca="false">IF($B285="","",H285+I285)</f>
        <v/>
      </c>
    </row>
    <row r="286" customFormat="false" ht="15" hidden="false" customHeight="false" outlineLevel="0" collapsed="false">
      <c r="B286" s="38" t="str">
        <f aca="false">IF(Transaksi!C285="","",Transaksi!C285)</f>
        <v/>
      </c>
      <c r="C286" s="39" t="str">
        <f aca="false">IF(Transaksi!C285="","",Transaksi!D285)</f>
        <v/>
      </c>
      <c r="D286" s="40" t="str">
        <f aca="false">IF(Transaksi!C285="","",Transaksi!H285)</f>
        <v/>
      </c>
      <c r="E286" s="39" t="str">
        <f aca="false">IF(Transaksi!C285="","",Transaksi!G285)</f>
        <v/>
      </c>
      <c r="F286" s="36" t="str">
        <f aca="false">IF(Transaksi!C285="","",Transaksi!J285)</f>
        <v/>
      </c>
      <c r="G286" s="36" t="str">
        <f aca="false">IF(Transaksi!C285="","",Transaksi!K285)</f>
        <v/>
      </c>
      <c r="H286" s="36" t="str">
        <f aca="false">IF($B286="","",Pengaturan!$C$10+SUMIFS(Transaksi!$J$6:$J285,Transaksi!$G$6:$G285,Pengaturan!$F$19)-SUMIFS(Transaksi!$K$6:$K285,Transaksi!$G$6:$G285,Pengaturan!$F$19))</f>
        <v/>
      </c>
      <c r="I286" s="36" t="str">
        <f aca="false">IF($B286="","",Pengaturan!$C$11+SUMIFS(Transaksi!$J$6:$J285,Transaksi!$G$6:$G285,Pengaturan!$F$20)-SUMIFS(Transaksi!$K$6:$K285,Transaksi!$G$6:$G285,Pengaturan!$F$20))</f>
        <v/>
      </c>
      <c r="J286" s="41" t="str">
        <f aca="false">IF($B286="","",H286+I286)</f>
        <v/>
      </c>
    </row>
    <row r="287" customFormat="false" ht="15" hidden="false" customHeight="false" outlineLevel="0" collapsed="false">
      <c r="B287" s="38" t="str">
        <f aca="false">IF(Transaksi!C286="","",Transaksi!C286)</f>
        <v/>
      </c>
      <c r="C287" s="39" t="str">
        <f aca="false">IF(Transaksi!C286="","",Transaksi!D286)</f>
        <v/>
      </c>
      <c r="D287" s="40" t="str">
        <f aca="false">IF(Transaksi!C286="","",Transaksi!H286)</f>
        <v/>
      </c>
      <c r="E287" s="39" t="str">
        <f aca="false">IF(Transaksi!C286="","",Transaksi!G286)</f>
        <v/>
      </c>
      <c r="F287" s="36" t="str">
        <f aca="false">IF(Transaksi!C286="","",Transaksi!J286)</f>
        <v/>
      </c>
      <c r="G287" s="36" t="str">
        <f aca="false">IF(Transaksi!C286="","",Transaksi!K286)</f>
        <v/>
      </c>
      <c r="H287" s="36" t="str">
        <f aca="false">IF($B287="","",Pengaturan!$C$10+SUMIFS(Transaksi!$J$6:$J286,Transaksi!$G$6:$G286,Pengaturan!$F$19)-SUMIFS(Transaksi!$K$6:$K286,Transaksi!$G$6:$G286,Pengaturan!$F$19))</f>
        <v/>
      </c>
      <c r="I287" s="36" t="str">
        <f aca="false">IF($B287="","",Pengaturan!$C$11+SUMIFS(Transaksi!$J$6:$J286,Transaksi!$G$6:$G286,Pengaturan!$F$20)-SUMIFS(Transaksi!$K$6:$K286,Transaksi!$G$6:$G286,Pengaturan!$F$20))</f>
        <v/>
      </c>
      <c r="J287" s="41" t="str">
        <f aca="false">IF($B287="","",H287+I287)</f>
        <v/>
      </c>
    </row>
    <row r="288" customFormat="false" ht="15" hidden="false" customHeight="false" outlineLevel="0" collapsed="false">
      <c r="B288" s="38" t="str">
        <f aca="false">IF(Transaksi!C287="","",Transaksi!C287)</f>
        <v/>
      </c>
      <c r="C288" s="39" t="str">
        <f aca="false">IF(Transaksi!C287="","",Transaksi!D287)</f>
        <v/>
      </c>
      <c r="D288" s="40" t="str">
        <f aca="false">IF(Transaksi!C287="","",Transaksi!H287)</f>
        <v/>
      </c>
      <c r="E288" s="39" t="str">
        <f aca="false">IF(Transaksi!C287="","",Transaksi!G287)</f>
        <v/>
      </c>
      <c r="F288" s="36" t="str">
        <f aca="false">IF(Transaksi!C287="","",Transaksi!J287)</f>
        <v/>
      </c>
      <c r="G288" s="36" t="str">
        <f aca="false">IF(Transaksi!C287="","",Transaksi!K287)</f>
        <v/>
      </c>
      <c r="H288" s="36" t="str">
        <f aca="false">IF($B288="","",Pengaturan!$C$10+SUMIFS(Transaksi!$J$6:$J287,Transaksi!$G$6:$G287,Pengaturan!$F$19)-SUMIFS(Transaksi!$K$6:$K287,Transaksi!$G$6:$G287,Pengaturan!$F$19))</f>
        <v/>
      </c>
      <c r="I288" s="36" t="str">
        <f aca="false">IF($B288="","",Pengaturan!$C$11+SUMIFS(Transaksi!$J$6:$J287,Transaksi!$G$6:$G287,Pengaturan!$F$20)-SUMIFS(Transaksi!$K$6:$K287,Transaksi!$G$6:$G287,Pengaturan!$F$20))</f>
        <v/>
      </c>
      <c r="J288" s="41" t="str">
        <f aca="false">IF($B288="","",H288+I288)</f>
        <v/>
      </c>
    </row>
    <row r="289" customFormat="false" ht="15" hidden="false" customHeight="false" outlineLevel="0" collapsed="false">
      <c r="B289" s="38" t="str">
        <f aca="false">IF(Transaksi!C288="","",Transaksi!C288)</f>
        <v/>
      </c>
      <c r="C289" s="39" t="str">
        <f aca="false">IF(Transaksi!C288="","",Transaksi!D288)</f>
        <v/>
      </c>
      <c r="D289" s="40" t="str">
        <f aca="false">IF(Transaksi!C288="","",Transaksi!H288)</f>
        <v/>
      </c>
      <c r="E289" s="39" t="str">
        <f aca="false">IF(Transaksi!C288="","",Transaksi!G288)</f>
        <v/>
      </c>
      <c r="F289" s="36" t="str">
        <f aca="false">IF(Transaksi!C288="","",Transaksi!J288)</f>
        <v/>
      </c>
      <c r="G289" s="36" t="str">
        <f aca="false">IF(Transaksi!C288="","",Transaksi!K288)</f>
        <v/>
      </c>
      <c r="H289" s="36" t="str">
        <f aca="false">IF($B289="","",Pengaturan!$C$10+SUMIFS(Transaksi!$J$6:$J288,Transaksi!$G$6:$G288,Pengaturan!$F$19)-SUMIFS(Transaksi!$K$6:$K288,Transaksi!$G$6:$G288,Pengaturan!$F$19))</f>
        <v/>
      </c>
      <c r="I289" s="36" t="str">
        <f aca="false">IF($B289="","",Pengaturan!$C$11+SUMIFS(Transaksi!$J$6:$J288,Transaksi!$G$6:$G288,Pengaturan!$F$20)-SUMIFS(Transaksi!$K$6:$K288,Transaksi!$G$6:$G288,Pengaturan!$F$20))</f>
        <v/>
      </c>
      <c r="J289" s="41" t="str">
        <f aca="false">IF($B289="","",H289+I289)</f>
        <v/>
      </c>
    </row>
    <row r="290" customFormat="false" ht="15" hidden="false" customHeight="false" outlineLevel="0" collapsed="false">
      <c r="B290" s="38" t="str">
        <f aca="false">IF(Transaksi!C289="","",Transaksi!C289)</f>
        <v/>
      </c>
      <c r="C290" s="39" t="str">
        <f aca="false">IF(Transaksi!C289="","",Transaksi!D289)</f>
        <v/>
      </c>
      <c r="D290" s="40" t="str">
        <f aca="false">IF(Transaksi!C289="","",Transaksi!H289)</f>
        <v/>
      </c>
      <c r="E290" s="39" t="str">
        <f aca="false">IF(Transaksi!C289="","",Transaksi!G289)</f>
        <v/>
      </c>
      <c r="F290" s="36" t="str">
        <f aca="false">IF(Transaksi!C289="","",Transaksi!J289)</f>
        <v/>
      </c>
      <c r="G290" s="36" t="str">
        <f aca="false">IF(Transaksi!C289="","",Transaksi!K289)</f>
        <v/>
      </c>
      <c r="H290" s="36" t="str">
        <f aca="false">IF($B290="","",Pengaturan!$C$10+SUMIFS(Transaksi!$J$6:$J289,Transaksi!$G$6:$G289,Pengaturan!$F$19)-SUMIFS(Transaksi!$K$6:$K289,Transaksi!$G$6:$G289,Pengaturan!$F$19))</f>
        <v/>
      </c>
      <c r="I290" s="36" t="str">
        <f aca="false">IF($B290="","",Pengaturan!$C$11+SUMIFS(Transaksi!$J$6:$J289,Transaksi!$G$6:$G289,Pengaturan!$F$20)-SUMIFS(Transaksi!$K$6:$K289,Transaksi!$G$6:$G289,Pengaturan!$F$20))</f>
        <v/>
      </c>
      <c r="J290" s="41" t="str">
        <f aca="false">IF($B290="","",H290+I290)</f>
        <v/>
      </c>
    </row>
    <row r="291" customFormat="false" ht="15" hidden="false" customHeight="false" outlineLevel="0" collapsed="false">
      <c r="B291" s="38" t="str">
        <f aca="false">IF(Transaksi!C290="","",Transaksi!C290)</f>
        <v/>
      </c>
      <c r="C291" s="39" t="str">
        <f aca="false">IF(Transaksi!C290="","",Transaksi!D290)</f>
        <v/>
      </c>
      <c r="D291" s="40" t="str">
        <f aca="false">IF(Transaksi!C290="","",Transaksi!H290)</f>
        <v/>
      </c>
      <c r="E291" s="39" t="str">
        <f aca="false">IF(Transaksi!C290="","",Transaksi!G290)</f>
        <v/>
      </c>
      <c r="F291" s="36" t="str">
        <f aca="false">IF(Transaksi!C290="","",Transaksi!J290)</f>
        <v/>
      </c>
      <c r="G291" s="36" t="str">
        <f aca="false">IF(Transaksi!C290="","",Transaksi!K290)</f>
        <v/>
      </c>
      <c r="H291" s="36" t="str">
        <f aca="false">IF($B291="","",Pengaturan!$C$10+SUMIFS(Transaksi!$J$6:$J290,Transaksi!$G$6:$G290,Pengaturan!$F$19)-SUMIFS(Transaksi!$K$6:$K290,Transaksi!$G$6:$G290,Pengaturan!$F$19))</f>
        <v/>
      </c>
      <c r="I291" s="36" t="str">
        <f aca="false">IF($B291="","",Pengaturan!$C$11+SUMIFS(Transaksi!$J$6:$J290,Transaksi!$G$6:$G290,Pengaturan!$F$20)-SUMIFS(Transaksi!$K$6:$K290,Transaksi!$G$6:$G290,Pengaturan!$F$20))</f>
        <v/>
      </c>
      <c r="J291" s="41" t="str">
        <f aca="false">IF($B291="","",H291+I291)</f>
        <v/>
      </c>
    </row>
    <row r="292" customFormat="false" ht="15" hidden="false" customHeight="false" outlineLevel="0" collapsed="false">
      <c r="B292" s="38" t="str">
        <f aca="false">IF(Transaksi!C291="","",Transaksi!C291)</f>
        <v/>
      </c>
      <c r="C292" s="39" t="str">
        <f aca="false">IF(Transaksi!C291="","",Transaksi!D291)</f>
        <v/>
      </c>
      <c r="D292" s="40" t="str">
        <f aca="false">IF(Transaksi!C291="","",Transaksi!H291)</f>
        <v/>
      </c>
      <c r="E292" s="39" t="str">
        <f aca="false">IF(Transaksi!C291="","",Transaksi!G291)</f>
        <v/>
      </c>
      <c r="F292" s="36" t="str">
        <f aca="false">IF(Transaksi!C291="","",Transaksi!J291)</f>
        <v/>
      </c>
      <c r="G292" s="36" t="str">
        <f aca="false">IF(Transaksi!C291="","",Transaksi!K291)</f>
        <v/>
      </c>
      <c r="H292" s="36" t="str">
        <f aca="false">IF($B292="","",Pengaturan!$C$10+SUMIFS(Transaksi!$J$6:$J291,Transaksi!$G$6:$G291,Pengaturan!$F$19)-SUMIFS(Transaksi!$K$6:$K291,Transaksi!$G$6:$G291,Pengaturan!$F$19))</f>
        <v/>
      </c>
      <c r="I292" s="36" t="str">
        <f aca="false">IF($B292="","",Pengaturan!$C$11+SUMIFS(Transaksi!$J$6:$J291,Transaksi!$G$6:$G291,Pengaturan!$F$20)-SUMIFS(Transaksi!$K$6:$K291,Transaksi!$G$6:$G291,Pengaturan!$F$20))</f>
        <v/>
      </c>
      <c r="J292" s="41" t="str">
        <f aca="false">IF($B292="","",H292+I292)</f>
        <v/>
      </c>
    </row>
    <row r="293" customFormat="false" ht="15" hidden="false" customHeight="false" outlineLevel="0" collapsed="false">
      <c r="B293" s="38" t="str">
        <f aca="false">IF(Transaksi!C292="","",Transaksi!C292)</f>
        <v/>
      </c>
      <c r="C293" s="39" t="str">
        <f aca="false">IF(Transaksi!C292="","",Transaksi!D292)</f>
        <v/>
      </c>
      <c r="D293" s="40" t="str">
        <f aca="false">IF(Transaksi!C292="","",Transaksi!H292)</f>
        <v/>
      </c>
      <c r="E293" s="39" t="str">
        <f aca="false">IF(Transaksi!C292="","",Transaksi!G292)</f>
        <v/>
      </c>
      <c r="F293" s="36" t="str">
        <f aca="false">IF(Transaksi!C292="","",Transaksi!J292)</f>
        <v/>
      </c>
      <c r="G293" s="36" t="str">
        <f aca="false">IF(Transaksi!C292="","",Transaksi!K292)</f>
        <v/>
      </c>
      <c r="H293" s="36" t="str">
        <f aca="false">IF($B293="","",Pengaturan!$C$10+SUMIFS(Transaksi!$J$6:$J292,Transaksi!$G$6:$G292,Pengaturan!$F$19)-SUMIFS(Transaksi!$K$6:$K292,Transaksi!$G$6:$G292,Pengaturan!$F$19))</f>
        <v/>
      </c>
      <c r="I293" s="36" t="str">
        <f aca="false">IF($B293="","",Pengaturan!$C$11+SUMIFS(Transaksi!$J$6:$J292,Transaksi!$G$6:$G292,Pengaturan!$F$20)-SUMIFS(Transaksi!$K$6:$K292,Transaksi!$G$6:$G292,Pengaturan!$F$20))</f>
        <v/>
      </c>
      <c r="J293" s="41" t="str">
        <f aca="false">IF($B293="","",H293+I293)</f>
        <v/>
      </c>
    </row>
    <row r="294" customFormat="false" ht="15" hidden="false" customHeight="false" outlineLevel="0" collapsed="false">
      <c r="B294" s="38" t="str">
        <f aca="false">IF(Transaksi!C293="","",Transaksi!C293)</f>
        <v/>
      </c>
      <c r="C294" s="39" t="str">
        <f aca="false">IF(Transaksi!C293="","",Transaksi!D293)</f>
        <v/>
      </c>
      <c r="D294" s="40" t="str">
        <f aca="false">IF(Transaksi!C293="","",Transaksi!H293)</f>
        <v/>
      </c>
      <c r="E294" s="39" t="str">
        <f aca="false">IF(Transaksi!C293="","",Transaksi!G293)</f>
        <v/>
      </c>
      <c r="F294" s="36" t="str">
        <f aca="false">IF(Transaksi!C293="","",Transaksi!J293)</f>
        <v/>
      </c>
      <c r="G294" s="36" t="str">
        <f aca="false">IF(Transaksi!C293="","",Transaksi!K293)</f>
        <v/>
      </c>
      <c r="H294" s="36" t="str">
        <f aca="false">IF($B294="","",Pengaturan!$C$10+SUMIFS(Transaksi!$J$6:$J293,Transaksi!$G$6:$G293,Pengaturan!$F$19)-SUMIFS(Transaksi!$K$6:$K293,Transaksi!$G$6:$G293,Pengaturan!$F$19))</f>
        <v/>
      </c>
      <c r="I294" s="36" t="str">
        <f aca="false">IF($B294="","",Pengaturan!$C$11+SUMIFS(Transaksi!$J$6:$J293,Transaksi!$G$6:$G293,Pengaturan!$F$20)-SUMIFS(Transaksi!$K$6:$K293,Transaksi!$G$6:$G293,Pengaturan!$F$20))</f>
        <v/>
      </c>
      <c r="J294" s="41" t="str">
        <f aca="false">IF($B294="","",H294+I294)</f>
        <v/>
      </c>
    </row>
    <row r="295" customFormat="false" ht="15" hidden="false" customHeight="false" outlineLevel="0" collapsed="false">
      <c r="B295" s="38" t="str">
        <f aca="false">IF(Transaksi!C294="","",Transaksi!C294)</f>
        <v/>
      </c>
      <c r="C295" s="39" t="str">
        <f aca="false">IF(Transaksi!C294="","",Transaksi!D294)</f>
        <v/>
      </c>
      <c r="D295" s="40" t="str">
        <f aca="false">IF(Transaksi!C294="","",Transaksi!H294)</f>
        <v/>
      </c>
      <c r="E295" s="39" t="str">
        <f aca="false">IF(Transaksi!C294="","",Transaksi!G294)</f>
        <v/>
      </c>
      <c r="F295" s="36" t="str">
        <f aca="false">IF(Transaksi!C294="","",Transaksi!J294)</f>
        <v/>
      </c>
      <c r="G295" s="36" t="str">
        <f aca="false">IF(Transaksi!C294="","",Transaksi!K294)</f>
        <v/>
      </c>
      <c r="H295" s="36" t="str">
        <f aca="false">IF($B295="","",Pengaturan!$C$10+SUMIFS(Transaksi!$J$6:$J294,Transaksi!$G$6:$G294,Pengaturan!$F$19)-SUMIFS(Transaksi!$K$6:$K294,Transaksi!$G$6:$G294,Pengaturan!$F$19))</f>
        <v/>
      </c>
      <c r="I295" s="36" t="str">
        <f aca="false">IF($B295="","",Pengaturan!$C$11+SUMIFS(Transaksi!$J$6:$J294,Transaksi!$G$6:$G294,Pengaturan!$F$20)-SUMIFS(Transaksi!$K$6:$K294,Transaksi!$G$6:$G294,Pengaturan!$F$20))</f>
        <v/>
      </c>
      <c r="J295" s="41" t="str">
        <f aca="false">IF($B295="","",H295+I295)</f>
        <v/>
      </c>
    </row>
    <row r="296" customFormat="false" ht="15" hidden="false" customHeight="false" outlineLevel="0" collapsed="false">
      <c r="B296" s="38" t="str">
        <f aca="false">IF(Transaksi!C295="","",Transaksi!C295)</f>
        <v/>
      </c>
      <c r="C296" s="39" t="str">
        <f aca="false">IF(Transaksi!C295="","",Transaksi!D295)</f>
        <v/>
      </c>
      <c r="D296" s="40" t="str">
        <f aca="false">IF(Transaksi!C295="","",Transaksi!H295)</f>
        <v/>
      </c>
      <c r="E296" s="39" t="str">
        <f aca="false">IF(Transaksi!C295="","",Transaksi!G295)</f>
        <v/>
      </c>
      <c r="F296" s="36" t="str">
        <f aca="false">IF(Transaksi!C295="","",Transaksi!J295)</f>
        <v/>
      </c>
      <c r="G296" s="36" t="str">
        <f aca="false">IF(Transaksi!C295="","",Transaksi!K295)</f>
        <v/>
      </c>
      <c r="H296" s="36" t="str">
        <f aca="false">IF($B296="","",Pengaturan!$C$10+SUMIFS(Transaksi!$J$6:$J295,Transaksi!$G$6:$G295,Pengaturan!$F$19)-SUMIFS(Transaksi!$K$6:$K295,Transaksi!$G$6:$G295,Pengaturan!$F$19))</f>
        <v/>
      </c>
      <c r="I296" s="36" t="str">
        <f aca="false">IF($B296="","",Pengaturan!$C$11+SUMIFS(Transaksi!$J$6:$J295,Transaksi!$G$6:$G295,Pengaturan!$F$20)-SUMIFS(Transaksi!$K$6:$K295,Transaksi!$G$6:$G295,Pengaturan!$F$20))</f>
        <v/>
      </c>
      <c r="J296" s="41" t="str">
        <f aca="false">IF($B296="","",H296+I296)</f>
        <v/>
      </c>
    </row>
    <row r="297" customFormat="false" ht="15" hidden="false" customHeight="false" outlineLevel="0" collapsed="false">
      <c r="B297" s="38" t="str">
        <f aca="false">IF(Transaksi!C296="","",Transaksi!C296)</f>
        <v/>
      </c>
      <c r="C297" s="39" t="str">
        <f aca="false">IF(Transaksi!C296="","",Transaksi!D296)</f>
        <v/>
      </c>
      <c r="D297" s="40" t="str">
        <f aca="false">IF(Transaksi!C296="","",Transaksi!H296)</f>
        <v/>
      </c>
      <c r="E297" s="39" t="str">
        <f aca="false">IF(Transaksi!C296="","",Transaksi!G296)</f>
        <v/>
      </c>
      <c r="F297" s="36" t="str">
        <f aca="false">IF(Transaksi!C296="","",Transaksi!J296)</f>
        <v/>
      </c>
      <c r="G297" s="36" t="str">
        <f aca="false">IF(Transaksi!C296="","",Transaksi!K296)</f>
        <v/>
      </c>
      <c r="H297" s="36" t="str">
        <f aca="false">IF($B297="","",Pengaturan!$C$10+SUMIFS(Transaksi!$J$6:$J296,Transaksi!$G$6:$G296,Pengaturan!$F$19)-SUMIFS(Transaksi!$K$6:$K296,Transaksi!$G$6:$G296,Pengaturan!$F$19))</f>
        <v/>
      </c>
      <c r="I297" s="36" t="str">
        <f aca="false">IF($B297="","",Pengaturan!$C$11+SUMIFS(Transaksi!$J$6:$J296,Transaksi!$G$6:$G296,Pengaturan!$F$20)-SUMIFS(Transaksi!$K$6:$K296,Transaksi!$G$6:$G296,Pengaturan!$F$20))</f>
        <v/>
      </c>
      <c r="J297" s="41" t="str">
        <f aca="false">IF($B297="","",H297+I297)</f>
        <v/>
      </c>
    </row>
    <row r="298" customFormat="false" ht="15" hidden="false" customHeight="false" outlineLevel="0" collapsed="false">
      <c r="B298" s="38" t="str">
        <f aca="false">IF(Transaksi!C297="","",Transaksi!C297)</f>
        <v/>
      </c>
      <c r="C298" s="39" t="str">
        <f aca="false">IF(Transaksi!C297="","",Transaksi!D297)</f>
        <v/>
      </c>
      <c r="D298" s="40" t="str">
        <f aca="false">IF(Transaksi!C297="","",Transaksi!H297)</f>
        <v/>
      </c>
      <c r="E298" s="39" t="str">
        <f aca="false">IF(Transaksi!C297="","",Transaksi!G297)</f>
        <v/>
      </c>
      <c r="F298" s="36" t="str">
        <f aca="false">IF(Transaksi!C297="","",Transaksi!J297)</f>
        <v/>
      </c>
      <c r="G298" s="36" t="str">
        <f aca="false">IF(Transaksi!C297="","",Transaksi!K297)</f>
        <v/>
      </c>
      <c r="H298" s="36" t="str">
        <f aca="false">IF($B298="","",Pengaturan!$C$10+SUMIFS(Transaksi!$J$6:$J297,Transaksi!$G$6:$G297,Pengaturan!$F$19)-SUMIFS(Transaksi!$K$6:$K297,Transaksi!$G$6:$G297,Pengaturan!$F$19))</f>
        <v/>
      </c>
      <c r="I298" s="36" t="str">
        <f aca="false">IF($B298="","",Pengaturan!$C$11+SUMIFS(Transaksi!$J$6:$J297,Transaksi!$G$6:$G297,Pengaturan!$F$20)-SUMIFS(Transaksi!$K$6:$K297,Transaksi!$G$6:$G297,Pengaturan!$F$20))</f>
        <v/>
      </c>
      <c r="J298" s="41" t="str">
        <f aca="false">IF($B298="","",H298+I298)</f>
        <v/>
      </c>
    </row>
    <row r="299" customFormat="false" ht="15" hidden="false" customHeight="false" outlineLevel="0" collapsed="false">
      <c r="B299" s="38" t="str">
        <f aca="false">IF(Transaksi!C298="","",Transaksi!C298)</f>
        <v/>
      </c>
      <c r="C299" s="39" t="str">
        <f aca="false">IF(Transaksi!C298="","",Transaksi!D298)</f>
        <v/>
      </c>
      <c r="D299" s="40" t="str">
        <f aca="false">IF(Transaksi!C298="","",Transaksi!H298)</f>
        <v/>
      </c>
      <c r="E299" s="39" t="str">
        <f aca="false">IF(Transaksi!C298="","",Transaksi!G298)</f>
        <v/>
      </c>
      <c r="F299" s="36" t="str">
        <f aca="false">IF(Transaksi!C298="","",Transaksi!J298)</f>
        <v/>
      </c>
      <c r="G299" s="36" t="str">
        <f aca="false">IF(Transaksi!C298="","",Transaksi!K298)</f>
        <v/>
      </c>
      <c r="H299" s="36" t="str">
        <f aca="false">IF($B299="","",Pengaturan!$C$10+SUMIFS(Transaksi!$J$6:$J298,Transaksi!$G$6:$G298,Pengaturan!$F$19)-SUMIFS(Transaksi!$K$6:$K298,Transaksi!$G$6:$G298,Pengaturan!$F$19))</f>
        <v/>
      </c>
      <c r="I299" s="36" t="str">
        <f aca="false">IF($B299="","",Pengaturan!$C$11+SUMIFS(Transaksi!$J$6:$J298,Transaksi!$G$6:$G298,Pengaturan!$F$20)-SUMIFS(Transaksi!$K$6:$K298,Transaksi!$G$6:$G298,Pengaturan!$F$20))</f>
        <v/>
      </c>
      <c r="J299" s="41" t="str">
        <f aca="false">IF($B299="","",H299+I299)</f>
        <v/>
      </c>
    </row>
    <row r="300" customFormat="false" ht="15" hidden="false" customHeight="false" outlineLevel="0" collapsed="false">
      <c r="B300" s="38" t="str">
        <f aca="false">IF(Transaksi!C299="","",Transaksi!C299)</f>
        <v/>
      </c>
      <c r="C300" s="39" t="str">
        <f aca="false">IF(Transaksi!C299="","",Transaksi!D299)</f>
        <v/>
      </c>
      <c r="D300" s="40" t="str">
        <f aca="false">IF(Transaksi!C299="","",Transaksi!H299)</f>
        <v/>
      </c>
      <c r="E300" s="39" t="str">
        <f aca="false">IF(Transaksi!C299="","",Transaksi!G299)</f>
        <v/>
      </c>
      <c r="F300" s="36" t="str">
        <f aca="false">IF(Transaksi!C299="","",Transaksi!J299)</f>
        <v/>
      </c>
      <c r="G300" s="36" t="str">
        <f aca="false">IF(Transaksi!C299="","",Transaksi!K299)</f>
        <v/>
      </c>
      <c r="H300" s="36" t="str">
        <f aca="false">IF($B300="","",Pengaturan!$C$10+SUMIFS(Transaksi!$J$6:$J299,Transaksi!$G$6:$G299,Pengaturan!$F$19)-SUMIFS(Transaksi!$K$6:$K299,Transaksi!$G$6:$G299,Pengaturan!$F$19))</f>
        <v/>
      </c>
      <c r="I300" s="36" t="str">
        <f aca="false">IF($B300="","",Pengaturan!$C$11+SUMIFS(Transaksi!$J$6:$J299,Transaksi!$G$6:$G299,Pengaturan!$F$20)-SUMIFS(Transaksi!$K$6:$K299,Transaksi!$G$6:$G299,Pengaturan!$F$20))</f>
        <v/>
      </c>
      <c r="J300" s="41" t="str">
        <f aca="false">IF($B300="","",H300+I300)</f>
        <v/>
      </c>
    </row>
    <row r="301" customFormat="false" ht="15" hidden="false" customHeight="false" outlineLevel="0" collapsed="false">
      <c r="B301" s="38" t="str">
        <f aca="false">IF(Transaksi!C300="","",Transaksi!C300)</f>
        <v/>
      </c>
      <c r="C301" s="39" t="str">
        <f aca="false">IF(Transaksi!C300="","",Transaksi!D300)</f>
        <v/>
      </c>
      <c r="D301" s="40" t="str">
        <f aca="false">IF(Transaksi!C300="","",Transaksi!H300)</f>
        <v/>
      </c>
      <c r="E301" s="39" t="str">
        <f aca="false">IF(Transaksi!C300="","",Transaksi!G300)</f>
        <v/>
      </c>
      <c r="F301" s="36" t="str">
        <f aca="false">IF(Transaksi!C300="","",Transaksi!J300)</f>
        <v/>
      </c>
      <c r="G301" s="36" t="str">
        <f aca="false">IF(Transaksi!C300="","",Transaksi!K300)</f>
        <v/>
      </c>
      <c r="H301" s="36" t="str">
        <f aca="false">IF($B301="","",Pengaturan!$C$10+SUMIFS(Transaksi!$J$6:$J300,Transaksi!$G$6:$G300,Pengaturan!$F$19)-SUMIFS(Transaksi!$K$6:$K300,Transaksi!$G$6:$G300,Pengaturan!$F$19))</f>
        <v/>
      </c>
      <c r="I301" s="36" t="str">
        <f aca="false">IF($B301="","",Pengaturan!$C$11+SUMIFS(Transaksi!$J$6:$J300,Transaksi!$G$6:$G300,Pengaturan!$F$20)-SUMIFS(Transaksi!$K$6:$K300,Transaksi!$G$6:$G300,Pengaturan!$F$20))</f>
        <v/>
      </c>
      <c r="J301" s="41" t="str">
        <f aca="false">IF($B301="","",H301+I301)</f>
        <v/>
      </c>
    </row>
    <row r="302" customFormat="false" ht="15" hidden="false" customHeight="false" outlineLevel="0" collapsed="false">
      <c r="B302" s="38" t="str">
        <f aca="false">IF(Transaksi!C301="","",Transaksi!C301)</f>
        <v/>
      </c>
      <c r="C302" s="39" t="str">
        <f aca="false">IF(Transaksi!C301="","",Transaksi!D301)</f>
        <v/>
      </c>
      <c r="D302" s="40" t="str">
        <f aca="false">IF(Transaksi!C301="","",Transaksi!H301)</f>
        <v/>
      </c>
      <c r="E302" s="39" t="str">
        <f aca="false">IF(Transaksi!C301="","",Transaksi!G301)</f>
        <v/>
      </c>
      <c r="F302" s="36" t="str">
        <f aca="false">IF(Transaksi!C301="","",Transaksi!J301)</f>
        <v/>
      </c>
      <c r="G302" s="36" t="str">
        <f aca="false">IF(Transaksi!C301="","",Transaksi!K301)</f>
        <v/>
      </c>
      <c r="H302" s="36" t="str">
        <f aca="false">IF($B302="","",Pengaturan!$C$10+SUMIFS(Transaksi!$J$6:$J301,Transaksi!$G$6:$G301,Pengaturan!$F$19)-SUMIFS(Transaksi!$K$6:$K301,Transaksi!$G$6:$G301,Pengaturan!$F$19))</f>
        <v/>
      </c>
      <c r="I302" s="36" t="str">
        <f aca="false">IF($B302="","",Pengaturan!$C$11+SUMIFS(Transaksi!$J$6:$J301,Transaksi!$G$6:$G301,Pengaturan!$F$20)-SUMIFS(Transaksi!$K$6:$K301,Transaksi!$G$6:$G301,Pengaturan!$F$20))</f>
        <v/>
      </c>
      <c r="J302" s="41" t="str">
        <f aca="false">IF($B302="","",H302+I302)</f>
        <v/>
      </c>
    </row>
    <row r="303" customFormat="false" ht="15" hidden="false" customHeight="false" outlineLevel="0" collapsed="false">
      <c r="B303" s="38" t="str">
        <f aca="false">IF(Transaksi!C302="","",Transaksi!C302)</f>
        <v/>
      </c>
      <c r="C303" s="39" t="str">
        <f aca="false">IF(Transaksi!C302="","",Transaksi!D302)</f>
        <v/>
      </c>
      <c r="D303" s="40" t="str">
        <f aca="false">IF(Transaksi!C302="","",Transaksi!H302)</f>
        <v/>
      </c>
      <c r="E303" s="39" t="str">
        <f aca="false">IF(Transaksi!C302="","",Transaksi!G302)</f>
        <v/>
      </c>
      <c r="F303" s="36" t="str">
        <f aca="false">IF(Transaksi!C302="","",Transaksi!J302)</f>
        <v/>
      </c>
      <c r="G303" s="36" t="str">
        <f aca="false">IF(Transaksi!C302="","",Transaksi!K302)</f>
        <v/>
      </c>
      <c r="H303" s="36" t="str">
        <f aca="false">IF($B303="","",Pengaturan!$C$10+SUMIFS(Transaksi!$J$6:$J302,Transaksi!$G$6:$G302,Pengaturan!$F$19)-SUMIFS(Transaksi!$K$6:$K302,Transaksi!$G$6:$G302,Pengaturan!$F$19))</f>
        <v/>
      </c>
      <c r="I303" s="36" t="str">
        <f aca="false">IF($B303="","",Pengaturan!$C$11+SUMIFS(Transaksi!$J$6:$J302,Transaksi!$G$6:$G302,Pengaturan!$F$20)-SUMIFS(Transaksi!$K$6:$K302,Transaksi!$G$6:$G302,Pengaturan!$F$20))</f>
        <v/>
      </c>
      <c r="J303" s="41" t="str">
        <f aca="false">IF($B303="","",H303+I303)</f>
        <v/>
      </c>
    </row>
    <row r="304" customFormat="false" ht="15" hidden="false" customHeight="false" outlineLevel="0" collapsed="false">
      <c r="B304" s="38" t="str">
        <f aca="false">IF(Transaksi!C303="","",Transaksi!C303)</f>
        <v/>
      </c>
      <c r="C304" s="39" t="str">
        <f aca="false">IF(Transaksi!C303="","",Transaksi!D303)</f>
        <v/>
      </c>
      <c r="D304" s="40" t="str">
        <f aca="false">IF(Transaksi!C303="","",Transaksi!H303)</f>
        <v/>
      </c>
      <c r="E304" s="39" t="str">
        <f aca="false">IF(Transaksi!C303="","",Transaksi!G303)</f>
        <v/>
      </c>
      <c r="F304" s="36" t="str">
        <f aca="false">IF(Transaksi!C303="","",Transaksi!J303)</f>
        <v/>
      </c>
      <c r="G304" s="36" t="str">
        <f aca="false">IF(Transaksi!C303="","",Transaksi!K303)</f>
        <v/>
      </c>
      <c r="H304" s="36" t="str">
        <f aca="false">IF($B304="","",Pengaturan!$C$10+SUMIFS(Transaksi!$J$6:$J303,Transaksi!$G$6:$G303,Pengaturan!$F$19)-SUMIFS(Transaksi!$K$6:$K303,Transaksi!$G$6:$G303,Pengaturan!$F$19))</f>
        <v/>
      </c>
      <c r="I304" s="36" t="str">
        <f aca="false">IF($B304="","",Pengaturan!$C$11+SUMIFS(Transaksi!$J$6:$J303,Transaksi!$G$6:$G303,Pengaturan!$F$20)-SUMIFS(Transaksi!$K$6:$K303,Transaksi!$G$6:$G303,Pengaturan!$F$20))</f>
        <v/>
      </c>
      <c r="J304" s="41" t="str">
        <f aca="false">IF($B304="","",H304+I304)</f>
        <v/>
      </c>
    </row>
    <row r="305" customFormat="false" ht="15" hidden="false" customHeight="false" outlineLevel="0" collapsed="false">
      <c r="B305" s="38" t="str">
        <f aca="false">IF(Transaksi!C304="","",Transaksi!C304)</f>
        <v/>
      </c>
      <c r="C305" s="39" t="str">
        <f aca="false">IF(Transaksi!C304="","",Transaksi!D304)</f>
        <v/>
      </c>
      <c r="D305" s="40" t="str">
        <f aca="false">IF(Transaksi!C304="","",Transaksi!H304)</f>
        <v/>
      </c>
      <c r="E305" s="39" t="str">
        <f aca="false">IF(Transaksi!C304="","",Transaksi!G304)</f>
        <v/>
      </c>
      <c r="F305" s="36" t="str">
        <f aca="false">IF(Transaksi!C304="","",Transaksi!J304)</f>
        <v/>
      </c>
      <c r="G305" s="36" t="str">
        <f aca="false">IF(Transaksi!C304="","",Transaksi!K304)</f>
        <v/>
      </c>
      <c r="H305" s="36" t="str">
        <f aca="false">IF($B305="","",Pengaturan!$C$10+SUMIFS(Transaksi!$J$6:$J304,Transaksi!$G$6:$G304,Pengaturan!$F$19)-SUMIFS(Transaksi!$K$6:$K304,Transaksi!$G$6:$G304,Pengaturan!$F$19))</f>
        <v/>
      </c>
      <c r="I305" s="36" t="str">
        <f aca="false">IF($B305="","",Pengaturan!$C$11+SUMIFS(Transaksi!$J$6:$J304,Transaksi!$G$6:$G304,Pengaturan!$F$20)-SUMIFS(Transaksi!$K$6:$K304,Transaksi!$G$6:$G304,Pengaturan!$F$20))</f>
        <v/>
      </c>
      <c r="J305" s="41" t="str">
        <f aca="false">IF($B305="","",H305+I305)</f>
        <v/>
      </c>
    </row>
    <row r="306" customFormat="false" ht="15" hidden="false" customHeight="false" outlineLevel="0" collapsed="false">
      <c r="B306" s="38" t="str">
        <f aca="false">IF(Transaksi!C305="","",Transaksi!C305)</f>
        <v/>
      </c>
      <c r="C306" s="39" t="str">
        <f aca="false">IF(Transaksi!C305="","",Transaksi!D305)</f>
        <v/>
      </c>
      <c r="D306" s="40" t="str">
        <f aca="false">IF(Transaksi!C305="","",Transaksi!H305)</f>
        <v/>
      </c>
      <c r="E306" s="39" t="str">
        <f aca="false">IF(Transaksi!C305="","",Transaksi!G305)</f>
        <v/>
      </c>
      <c r="F306" s="36" t="str">
        <f aca="false">IF(Transaksi!C305="","",Transaksi!J305)</f>
        <v/>
      </c>
      <c r="G306" s="36" t="str">
        <f aca="false">IF(Transaksi!C305="","",Transaksi!K305)</f>
        <v/>
      </c>
      <c r="H306" s="36" t="str">
        <f aca="false">IF($B306="","",Pengaturan!$C$10+SUMIFS(Transaksi!$J$6:$J305,Transaksi!$G$6:$G305,Pengaturan!$F$19)-SUMIFS(Transaksi!$K$6:$K305,Transaksi!$G$6:$G305,Pengaturan!$F$19))</f>
        <v/>
      </c>
      <c r="I306" s="36" t="str">
        <f aca="false">IF($B306="","",Pengaturan!$C$11+SUMIFS(Transaksi!$J$6:$J305,Transaksi!$G$6:$G305,Pengaturan!$F$20)-SUMIFS(Transaksi!$K$6:$K305,Transaksi!$G$6:$G305,Pengaturan!$F$20))</f>
        <v/>
      </c>
      <c r="J306" s="41" t="str">
        <f aca="false">IF($B306="","",H306+I306)</f>
        <v/>
      </c>
    </row>
    <row r="307" customFormat="false" ht="15" hidden="false" customHeight="false" outlineLevel="0" collapsed="false">
      <c r="B307" s="38" t="str">
        <f aca="false">IF(Transaksi!C306="","",Transaksi!C306)</f>
        <v/>
      </c>
      <c r="C307" s="39" t="str">
        <f aca="false">IF(Transaksi!C306="","",Transaksi!D306)</f>
        <v/>
      </c>
      <c r="D307" s="40" t="str">
        <f aca="false">IF(Transaksi!C306="","",Transaksi!H306)</f>
        <v/>
      </c>
      <c r="E307" s="39" t="str">
        <f aca="false">IF(Transaksi!C306="","",Transaksi!G306)</f>
        <v/>
      </c>
      <c r="F307" s="36" t="str">
        <f aca="false">IF(Transaksi!C306="","",Transaksi!J306)</f>
        <v/>
      </c>
      <c r="G307" s="36" t="str">
        <f aca="false">IF(Transaksi!C306="","",Transaksi!K306)</f>
        <v/>
      </c>
      <c r="H307" s="36" t="str">
        <f aca="false">IF($B307="","",Pengaturan!$C$10+SUMIFS(Transaksi!$J$6:$J306,Transaksi!$G$6:$G306,Pengaturan!$F$19)-SUMIFS(Transaksi!$K$6:$K306,Transaksi!$G$6:$G306,Pengaturan!$F$19))</f>
        <v/>
      </c>
      <c r="I307" s="36" t="str">
        <f aca="false">IF($B307="","",Pengaturan!$C$11+SUMIFS(Transaksi!$J$6:$J306,Transaksi!$G$6:$G306,Pengaturan!$F$20)-SUMIFS(Transaksi!$K$6:$K306,Transaksi!$G$6:$G306,Pengaturan!$F$20))</f>
        <v/>
      </c>
      <c r="J307" s="41" t="str">
        <f aca="false">IF($B307="","",H307+I307)</f>
        <v/>
      </c>
    </row>
    <row r="308" customFormat="false" ht="15" hidden="false" customHeight="false" outlineLevel="0" collapsed="false">
      <c r="B308" s="38" t="str">
        <f aca="false">IF(Transaksi!C307="","",Transaksi!C307)</f>
        <v/>
      </c>
      <c r="C308" s="39" t="str">
        <f aca="false">IF(Transaksi!C307="","",Transaksi!D307)</f>
        <v/>
      </c>
      <c r="D308" s="40" t="str">
        <f aca="false">IF(Transaksi!C307="","",Transaksi!H307)</f>
        <v/>
      </c>
      <c r="E308" s="39" t="str">
        <f aca="false">IF(Transaksi!C307="","",Transaksi!G307)</f>
        <v/>
      </c>
      <c r="F308" s="36" t="str">
        <f aca="false">IF(Transaksi!C307="","",Transaksi!J307)</f>
        <v/>
      </c>
      <c r="G308" s="36" t="str">
        <f aca="false">IF(Transaksi!C307="","",Transaksi!K307)</f>
        <v/>
      </c>
      <c r="H308" s="36" t="str">
        <f aca="false">IF($B308="","",Pengaturan!$C$10+SUMIFS(Transaksi!$J$6:$J307,Transaksi!$G$6:$G307,Pengaturan!$F$19)-SUMIFS(Transaksi!$K$6:$K307,Transaksi!$G$6:$G307,Pengaturan!$F$19))</f>
        <v/>
      </c>
      <c r="I308" s="36" t="str">
        <f aca="false">IF($B308="","",Pengaturan!$C$11+SUMIFS(Transaksi!$J$6:$J307,Transaksi!$G$6:$G307,Pengaturan!$F$20)-SUMIFS(Transaksi!$K$6:$K307,Transaksi!$G$6:$G307,Pengaturan!$F$20))</f>
        <v/>
      </c>
      <c r="J308" s="41" t="str">
        <f aca="false">IF($B308="","",H308+I308)</f>
        <v/>
      </c>
    </row>
    <row r="309" customFormat="false" ht="15" hidden="false" customHeight="false" outlineLevel="0" collapsed="false">
      <c r="B309" s="38" t="str">
        <f aca="false">IF(Transaksi!C308="","",Transaksi!C308)</f>
        <v/>
      </c>
      <c r="C309" s="39" t="str">
        <f aca="false">IF(Transaksi!C308="","",Transaksi!D308)</f>
        <v/>
      </c>
      <c r="D309" s="40" t="str">
        <f aca="false">IF(Transaksi!C308="","",Transaksi!H308)</f>
        <v/>
      </c>
      <c r="E309" s="39" t="str">
        <f aca="false">IF(Transaksi!C308="","",Transaksi!G308)</f>
        <v/>
      </c>
      <c r="F309" s="36" t="str">
        <f aca="false">IF(Transaksi!C308="","",Transaksi!J308)</f>
        <v/>
      </c>
      <c r="G309" s="36" t="str">
        <f aca="false">IF(Transaksi!C308="","",Transaksi!K308)</f>
        <v/>
      </c>
      <c r="H309" s="36" t="str">
        <f aca="false">IF($B309="","",Pengaturan!$C$10+SUMIFS(Transaksi!$J$6:$J308,Transaksi!$G$6:$G308,Pengaturan!$F$19)-SUMIFS(Transaksi!$K$6:$K308,Transaksi!$G$6:$G308,Pengaturan!$F$19))</f>
        <v/>
      </c>
      <c r="I309" s="36" t="str">
        <f aca="false">IF($B309="","",Pengaturan!$C$11+SUMIFS(Transaksi!$J$6:$J308,Transaksi!$G$6:$G308,Pengaturan!$F$20)-SUMIFS(Transaksi!$K$6:$K308,Transaksi!$G$6:$G308,Pengaturan!$F$20))</f>
        <v/>
      </c>
      <c r="J309" s="41" t="str">
        <f aca="false">IF($B309="","",H309+I309)</f>
        <v/>
      </c>
    </row>
    <row r="310" customFormat="false" ht="15" hidden="false" customHeight="false" outlineLevel="0" collapsed="false">
      <c r="B310" s="38" t="str">
        <f aca="false">IF(Transaksi!C309="","",Transaksi!C309)</f>
        <v/>
      </c>
      <c r="C310" s="39" t="str">
        <f aca="false">IF(Transaksi!C309="","",Transaksi!D309)</f>
        <v/>
      </c>
      <c r="D310" s="40" t="str">
        <f aca="false">IF(Transaksi!C309="","",Transaksi!H309)</f>
        <v/>
      </c>
      <c r="E310" s="39" t="str">
        <f aca="false">IF(Transaksi!C309="","",Transaksi!G309)</f>
        <v/>
      </c>
      <c r="F310" s="36" t="str">
        <f aca="false">IF(Transaksi!C309="","",Transaksi!J309)</f>
        <v/>
      </c>
      <c r="G310" s="36" t="str">
        <f aca="false">IF(Transaksi!C309="","",Transaksi!K309)</f>
        <v/>
      </c>
      <c r="H310" s="36" t="str">
        <f aca="false">IF($B310="","",Pengaturan!$C$10+SUMIFS(Transaksi!$J$6:$J309,Transaksi!$G$6:$G309,Pengaturan!$F$19)-SUMIFS(Transaksi!$K$6:$K309,Transaksi!$G$6:$G309,Pengaturan!$F$19))</f>
        <v/>
      </c>
      <c r="I310" s="36" t="str">
        <f aca="false">IF($B310="","",Pengaturan!$C$11+SUMIFS(Transaksi!$J$6:$J309,Transaksi!$G$6:$G309,Pengaturan!$F$20)-SUMIFS(Transaksi!$K$6:$K309,Transaksi!$G$6:$G309,Pengaturan!$F$20))</f>
        <v/>
      </c>
      <c r="J310" s="41" t="str">
        <f aca="false">IF($B310="","",H310+I310)</f>
        <v/>
      </c>
    </row>
    <row r="311" customFormat="false" ht="15" hidden="false" customHeight="false" outlineLevel="0" collapsed="false">
      <c r="B311" s="38" t="str">
        <f aca="false">IF(Transaksi!C310="","",Transaksi!C310)</f>
        <v/>
      </c>
      <c r="C311" s="39" t="str">
        <f aca="false">IF(Transaksi!C310="","",Transaksi!D310)</f>
        <v/>
      </c>
      <c r="D311" s="40" t="str">
        <f aca="false">IF(Transaksi!C310="","",Transaksi!H310)</f>
        <v/>
      </c>
      <c r="E311" s="39" t="str">
        <f aca="false">IF(Transaksi!C310="","",Transaksi!G310)</f>
        <v/>
      </c>
      <c r="F311" s="36" t="str">
        <f aca="false">IF(Transaksi!C310="","",Transaksi!J310)</f>
        <v/>
      </c>
      <c r="G311" s="36" t="str">
        <f aca="false">IF(Transaksi!C310="","",Transaksi!K310)</f>
        <v/>
      </c>
      <c r="H311" s="36" t="str">
        <f aca="false">IF($B311="","",Pengaturan!$C$10+SUMIFS(Transaksi!$J$6:$J310,Transaksi!$G$6:$G310,Pengaturan!$F$19)-SUMIFS(Transaksi!$K$6:$K310,Transaksi!$G$6:$G310,Pengaturan!$F$19))</f>
        <v/>
      </c>
      <c r="I311" s="36" t="str">
        <f aca="false">IF($B311="","",Pengaturan!$C$11+SUMIFS(Transaksi!$J$6:$J310,Transaksi!$G$6:$G310,Pengaturan!$F$20)-SUMIFS(Transaksi!$K$6:$K310,Transaksi!$G$6:$G310,Pengaturan!$F$20))</f>
        <v/>
      </c>
      <c r="J311" s="41" t="str">
        <f aca="false">IF($B311="","",H311+I311)</f>
        <v/>
      </c>
    </row>
    <row r="312" customFormat="false" ht="15" hidden="false" customHeight="false" outlineLevel="0" collapsed="false">
      <c r="B312" s="38" t="str">
        <f aca="false">IF(Transaksi!C311="","",Transaksi!C311)</f>
        <v/>
      </c>
      <c r="C312" s="39" t="str">
        <f aca="false">IF(Transaksi!C311="","",Transaksi!D311)</f>
        <v/>
      </c>
      <c r="D312" s="40" t="str">
        <f aca="false">IF(Transaksi!C311="","",Transaksi!H311)</f>
        <v/>
      </c>
      <c r="E312" s="39" t="str">
        <f aca="false">IF(Transaksi!C311="","",Transaksi!G311)</f>
        <v/>
      </c>
      <c r="F312" s="36" t="str">
        <f aca="false">IF(Transaksi!C311="","",Transaksi!J311)</f>
        <v/>
      </c>
      <c r="G312" s="36" t="str">
        <f aca="false">IF(Transaksi!C311="","",Transaksi!K311)</f>
        <v/>
      </c>
      <c r="H312" s="36" t="str">
        <f aca="false">IF($B312="","",Pengaturan!$C$10+SUMIFS(Transaksi!$J$6:$J311,Transaksi!$G$6:$G311,Pengaturan!$F$19)-SUMIFS(Transaksi!$K$6:$K311,Transaksi!$G$6:$G311,Pengaturan!$F$19))</f>
        <v/>
      </c>
      <c r="I312" s="36" t="str">
        <f aca="false">IF($B312="","",Pengaturan!$C$11+SUMIFS(Transaksi!$J$6:$J311,Transaksi!$G$6:$G311,Pengaturan!$F$20)-SUMIFS(Transaksi!$K$6:$K311,Transaksi!$G$6:$G311,Pengaturan!$F$20))</f>
        <v/>
      </c>
      <c r="J312" s="41" t="str">
        <f aca="false">IF($B312="","",H312+I312)</f>
        <v/>
      </c>
    </row>
    <row r="313" customFormat="false" ht="15" hidden="false" customHeight="false" outlineLevel="0" collapsed="false">
      <c r="B313" s="38" t="str">
        <f aca="false">IF(Transaksi!C312="","",Transaksi!C312)</f>
        <v/>
      </c>
      <c r="C313" s="39" t="str">
        <f aca="false">IF(Transaksi!C312="","",Transaksi!D312)</f>
        <v/>
      </c>
      <c r="D313" s="40" t="str">
        <f aca="false">IF(Transaksi!C312="","",Transaksi!H312)</f>
        <v/>
      </c>
      <c r="E313" s="39" t="str">
        <f aca="false">IF(Transaksi!C312="","",Transaksi!G312)</f>
        <v/>
      </c>
      <c r="F313" s="36" t="str">
        <f aca="false">IF(Transaksi!C312="","",Transaksi!J312)</f>
        <v/>
      </c>
      <c r="G313" s="36" t="str">
        <f aca="false">IF(Transaksi!C312="","",Transaksi!K312)</f>
        <v/>
      </c>
      <c r="H313" s="36" t="str">
        <f aca="false">IF($B313="","",Pengaturan!$C$10+SUMIFS(Transaksi!$J$6:$J312,Transaksi!$G$6:$G312,Pengaturan!$F$19)-SUMIFS(Transaksi!$K$6:$K312,Transaksi!$G$6:$G312,Pengaturan!$F$19))</f>
        <v/>
      </c>
      <c r="I313" s="36" t="str">
        <f aca="false">IF($B313="","",Pengaturan!$C$11+SUMIFS(Transaksi!$J$6:$J312,Transaksi!$G$6:$G312,Pengaturan!$F$20)-SUMIFS(Transaksi!$K$6:$K312,Transaksi!$G$6:$G312,Pengaturan!$F$20))</f>
        <v/>
      </c>
      <c r="J313" s="41" t="str">
        <f aca="false">IF($B313="","",H313+I313)</f>
        <v/>
      </c>
    </row>
    <row r="314" customFormat="false" ht="15" hidden="false" customHeight="false" outlineLevel="0" collapsed="false">
      <c r="B314" s="38" t="str">
        <f aca="false">IF(Transaksi!C313="","",Transaksi!C313)</f>
        <v/>
      </c>
      <c r="C314" s="39" t="str">
        <f aca="false">IF(Transaksi!C313="","",Transaksi!D313)</f>
        <v/>
      </c>
      <c r="D314" s="40" t="str">
        <f aca="false">IF(Transaksi!C313="","",Transaksi!H313)</f>
        <v/>
      </c>
      <c r="E314" s="39" t="str">
        <f aca="false">IF(Transaksi!C313="","",Transaksi!G313)</f>
        <v/>
      </c>
      <c r="F314" s="36" t="str">
        <f aca="false">IF(Transaksi!C313="","",Transaksi!J313)</f>
        <v/>
      </c>
      <c r="G314" s="36" t="str">
        <f aca="false">IF(Transaksi!C313="","",Transaksi!K313)</f>
        <v/>
      </c>
      <c r="H314" s="36" t="str">
        <f aca="false">IF($B314="","",Pengaturan!$C$10+SUMIFS(Transaksi!$J$6:$J313,Transaksi!$G$6:$G313,Pengaturan!$F$19)-SUMIFS(Transaksi!$K$6:$K313,Transaksi!$G$6:$G313,Pengaturan!$F$19))</f>
        <v/>
      </c>
      <c r="I314" s="36" t="str">
        <f aca="false">IF($B314="","",Pengaturan!$C$11+SUMIFS(Transaksi!$J$6:$J313,Transaksi!$G$6:$G313,Pengaturan!$F$20)-SUMIFS(Transaksi!$K$6:$K313,Transaksi!$G$6:$G313,Pengaturan!$F$20))</f>
        <v/>
      </c>
      <c r="J314" s="41" t="str">
        <f aca="false">IF($B314="","",H314+I314)</f>
        <v/>
      </c>
    </row>
    <row r="315" customFormat="false" ht="15" hidden="false" customHeight="false" outlineLevel="0" collapsed="false">
      <c r="B315" s="38" t="str">
        <f aca="false">IF(Transaksi!C314="","",Transaksi!C314)</f>
        <v/>
      </c>
      <c r="C315" s="39" t="str">
        <f aca="false">IF(Transaksi!C314="","",Transaksi!D314)</f>
        <v/>
      </c>
      <c r="D315" s="40" t="str">
        <f aca="false">IF(Transaksi!C314="","",Transaksi!H314)</f>
        <v/>
      </c>
      <c r="E315" s="39" t="str">
        <f aca="false">IF(Transaksi!C314="","",Transaksi!G314)</f>
        <v/>
      </c>
      <c r="F315" s="36" t="str">
        <f aca="false">IF(Transaksi!C314="","",Transaksi!J314)</f>
        <v/>
      </c>
      <c r="G315" s="36" t="str">
        <f aca="false">IF(Transaksi!C314="","",Transaksi!K314)</f>
        <v/>
      </c>
      <c r="H315" s="36" t="str">
        <f aca="false">IF($B315="","",Pengaturan!$C$10+SUMIFS(Transaksi!$J$6:$J314,Transaksi!$G$6:$G314,Pengaturan!$F$19)-SUMIFS(Transaksi!$K$6:$K314,Transaksi!$G$6:$G314,Pengaturan!$F$19))</f>
        <v/>
      </c>
      <c r="I315" s="36" t="str">
        <f aca="false">IF($B315="","",Pengaturan!$C$11+SUMIFS(Transaksi!$J$6:$J314,Transaksi!$G$6:$G314,Pengaturan!$F$20)-SUMIFS(Transaksi!$K$6:$K314,Transaksi!$G$6:$G314,Pengaturan!$F$20))</f>
        <v/>
      </c>
      <c r="J315" s="41" t="str">
        <f aca="false">IF($B315="","",H315+I315)</f>
        <v/>
      </c>
    </row>
    <row r="316" customFormat="false" ht="15" hidden="false" customHeight="false" outlineLevel="0" collapsed="false">
      <c r="B316" s="38" t="str">
        <f aca="false">IF(Transaksi!C315="","",Transaksi!C315)</f>
        <v/>
      </c>
      <c r="C316" s="39" t="str">
        <f aca="false">IF(Transaksi!C315="","",Transaksi!D315)</f>
        <v/>
      </c>
      <c r="D316" s="40" t="str">
        <f aca="false">IF(Transaksi!C315="","",Transaksi!H315)</f>
        <v/>
      </c>
      <c r="E316" s="39" t="str">
        <f aca="false">IF(Transaksi!C315="","",Transaksi!G315)</f>
        <v/>
      </c>
      <c r="F316" s="36" t="str">
        <f aca="false">IF(Transaksi!C315="","",Transaksi!J315)</f>
        <v/>
      </c>
      <c r="G316" s="36" t="str">
        <f aca="false">IF(Transaksi!C315="","",Transaksi!K315)</f>
        <v/>
      </c>
      <c r="H316" s="36" t="str">
        <f aca="false">IF($B316="","",Pengaturan!$C$10+SUMIFS(Transaksi!$J$6:$J315,Transaksi!$G$6:$G315,Pengaturan!$F$19)-SUMIFS(Transaksi!$K$6:$K315,Transaksi!$G$6:$G315,Pengaturan!$F$19))</f>
        <v/>
      </c>
      <c r="I316" s="36" t="str">
        <f aca="false">IF($B316="","",Pengaturan!$C$11+SUMIFS(Transaksi!$J$6:$J315,Transaksi!$G$6:$G315,Pengaturan!$F$20)-SUMIFS(Transaksi!$K$6:$K315,Transaksi!$G$6:$G315,Pengaturan!$F$20))</f>
        <v/>
      </c>
      <c r="J316" s="41" t="str">
        <f aca="false">IF($B316="","",H316+I316)</f>
        <v/>
      </c>
    </row>
    <row r="317" customFormat="false" ht="15" hidden="false" customHeight="false" outlineLevel="0" collapsed="false">
      <c r="B317" s="38" t="str">
        <f aca="false">IF(Transaksi!C316="","",Transaksi!C316)</f>
        <v/>
      </c>
      <c r="C317" s="39" t="str">
        <f aca="false">IF(Transaksi!C316="","",Transaksi!D316)</f>
        <v/>
      </c>
      <c r="D317" s="40" t="str">
        <f aca="false">IF(Transaksi!C316="","",Transaksi!H316)</f>
        <v/>
      </c>
      <c r="E317" s="39" t="str">
        <f aca="false">IF(Transaksi!C316="","",Transaksi!G316)</f>
        <v/>
      </c>
      <c r="F317" s="36" t="str">
        <f aca="false">IF(Transaksi!C316="","",Transaksi!J316)</f>
        <v/>
      </c>
      <c r="G317" s="36" t="str">
        <f aca="false">IF(Transaksi!C316="","",Transaksi!K316)</f>
        <v/>
      </c>
      <c r="H317" s="36" t="str">
        <f aca="false">IF($B317="","",Pengaturan!$C$10+SUMIFS(Transaksi!$J$6:$J316,Transaksi!$G$6:$G316,Pengaturan!$F$19)-SUMIFS(Transaksi!$K$6:$K316,Transaksi!$G$6:$G316,Pengaturan!$F$19))</f>
        <v/>
      </c>
      <c r="I317" s="36" t="str">
        <f aca="false">IF($B317="","",Pengaturan!$C$11+SUMIFS(Transaksi!$J$6:$J316,Transaksi!$G$6:$G316,Pengaturan!$F$20)-SUMIFS(Transaksi!$K$6:$K316,Transaksi!$G$6:$G316,Pengaturan!$F$20))</f>
        <v/>
      </c>
      <c r="J317" s="41" t="str">
        <f aca="false">IF($B317="","",H317+I317)</f>
        <v/>
      </c>
    </row>
    <row r="318" customFormat="false" ht="15" hidden="false" customHeight="false" outlineLevel="0" collapsed="false">
      <c r="B318" s="38" t="str">
        <f aca="false">IF(Transaksi!C317="","",Transaksi!C317)</f>
        <v/>
      </c>
      <c r="C318" s="39" t="str">
        <f aca="false">IF(Transaksi!C317="","",Transaksi!D317)</f>
        <v/>
      </c>
      <c r="D318" s="40" t="str">
        <f aca="false">IF(Transaksi!C317="","",Transaksi!H317)</f>
        <v/>
      </c>
      <c r="E318" s="39" t="str">
        <f aca="false">IF(Transaksi!C317="","",Transaksi!G317)</f>
        <v/>
      </c>
      <c r="F318" s="36" t="str">
        <f aca="false">IF(Transaksi!C317="","",Transaksi!J317)</f>
        <v/>
      </c>
      <c r="G318" s="36" t="str">
        <f aca="false">IF(Transaksi!C317="","",Transaksi!K317)</f>
        <v/>
      </c>
      <c r="H318" s="36" t="str">
        <f aca="false">IF($B318="","",Pengaturan!$C$10+SUMIFS(Transaksi!$J$6:$J317,Transaksi!$G$6:$G317,Pengaturan!$F$19)-SUMIFS(Transaksi!$K$6:$K317,Transaksi!$G$6:$G317,Pengaturan!$F$19))</f>
        <v/>
      </c>
      <c r="I318" s="36" t="str">
        <f aca="false">IF($B318="","",Pengaturan!$C$11+SUMIFS(Transaksi!$J$6:$J317,Transaksi!$G$6:$G317,Pengaturan!$F$20)-SUMIFS(Transaksi!$K$6:$K317,Transaksi!$G$6:$G317,Pengaturan!$F$20))</f>
        <v/>
      </c>
      <c r="J318" s="41" t="str">
        <f aca="false">IF($B318="","",H318+I318)</f>
        <v/>
      </c>
    </row>
    <row r="319" customFormat="false" ht="15" hidden="false" customHeight="false" outlineLevel="0" collapsed="false">
      <c r="B319" s="38" t="str">
        <f aca="false">IF(Transaksi!C318="","",Transaksi!C318)</f>
        <v/>
      </c>
      <c r="C319" s="39" t="str">
        <f aca="false">IF(Transaksi!C318="","",Transaksi!D318)</f>
        <v/>
      </c>
      <c r="D319" s="40" t="str">
        <f aca="false">IF(Transaksi!C318="","",Transaksi!H318)</f>
        <v/>
      </c>
      <c r="E319" s="39" t="str">
        <f aca="false">IF(Transaksi!C318="","",Transaksi!G318)</f>
        <v/>
      </c>
      <c r="F319" s="36" t="str">
        <f aca="false">IF(Transaksi!C318="","",Transaksi!J318)</f>
        <v/>
      </c>
      <c r="G319" s="36" t="str">
        <f aca="false">IF(Transaksi!C318="","",Transaksi!K318)</f>
        <v/>
      </c>
      <c r="H319" s="36" t="str">
        <f aca="false">IF($B319="","",Pengaturan!$C$10+SUMIFS(Transaksi!$J$6:$J318,Transaksi!$G$6:$G318,Pengaturan!$F$19)-SUMIFS(Transaksi!$K$6:$K318,Transaksi!$G$6:$G318,Pengaturan!$F$19))</f>
        <v/>
      </c>
      <c r="I319" s="36" t="str">
        <f aca="false">IF($B319="","",Pengaturan!$C$11+SUMIFS(Transaksi!$J$6:$J318,Transaksi!$G$6:$G318,Pengaturan!$F$20)-SUMIFS(Transaksi!$K$6:$K318,Transaksi!$G$6:$G318,Pengaturan!$F$20))</f>
        <v/>
      </c>
      <c r="J319" s="41" t="str">
        <f aca="false">IF($B319="","",H319+I319)</f>
        <v/>
      </c>
    </row>
    <row r="320" customFormat="false" ht="15" hidden="false" customHeight="false" outlineLevel="0" collapsed="false">
      <c r="B320" s="38" t="str">
        <f aca="false">IF(Transaksi!C319="","",Transaksi!C319)</f>
        <v/>
      </c>
      <c r="C320" s="39" t="str">
        <f aca="false">IF(Transaksi!C319="","",Transaksi!D319)</f>
        <v/>
      </c>
      <c r="D320" s="40" t="str">
        <f aca="false">IF(Transaksi!C319="","",Transaksi!H319)</f>
        <v/>
      </c>
      <c r="E320" s="39" t="str">
        <f aca="false">IF(Transaksi!C319="","",Transaksi!G319)</f>
        <v/>
      </c>
      <c r="F320" s="36" t="str">
        <f aca="false">IF(Transaksi!C319="","",Transaksi!J319)</f>
        <v/>
      </c>
      <c r="G320" s="36" t="str">
        <f aca="false">IF(Transaksi!C319="","",Transaksi!K319)</f>
        <v/>
      </c>
      <c r="H320" s="36" t="str">
        <f aca="false">IF($B320="","",Pengaturan!$C$10+SUMIFS(Transaksi!$J$6:$J319,Transaksi!$G$6:$G319,Pengaturan!$F$19)-SUMIFS(Transaksi!$K$6:$K319,Transaksi!$G$6:$G319,Pengaturan!$F$19))</f>
        <v/>
      </c>
      <c r="I320" s="36" t="str">
        <f aca="false">IF($B320="","",Pengaturan!$C$11+SUMIFS(Transaksi!$J$6:$J319,Transaksi!$G$6:$G319,Pengaturan!$F$20)-SUMIFS(Transaksi!$K$6:$K319,Transaksi!$G$6:$G319,Pengaturan!$F$20))</f>
        <v/>
      </c>
      <c r="J320" s="41" t="str">
        <f aca="false">IF($B320="","",H320+I320)</f>
        <v/>
      </c>
    </row>
    <row r="321" customFormat="false" ht="15" hidden="false" customHeight="false" outlineLevel="0" collapsed="false">
      <c r="B321" s="38" t="str">
        <f aca="false">IF(Transaksi!C320="","",Transaksi!C320)</f>
        <v/>
      </c>
      <c r="C321" s="39" t="str">
        <f aca="false">IF(Transaksi!C320="","",Transaksi!D320)</f>
        <v/>
      </c>
      <c r="D321" s="40" t="str">
        <f aca="false">IF(Transaksi!C320="","",Transaksi!H320)</f>
        <v/>
      </c>
      <c r="E321" s="39" t="str">
        <f aca="false">IF(Transaksi!C320="","",Transaksi!G320)</f>
        <v/>
      </c>
      <c r="F321" s="36" t="str">
        <f aca="false">IF(Transaksi!C320="","",Transaksi!J320)</f>
        <v/>
      </c>
      <c r="G321" s="36" t="str">
        <f aca="false">IF(Transaksi!C320="","",Transaksi!K320)</f>
        <v/>
      </c>
      <c r="H321" s="36" t="str">
        <f aca="false">IF($B321="","",Pengaturan!$C$10+SUMIFS(Transaksi!$J$6:$J320,Transaksi!$G$6:$G320,Pengaturan!$F$19)-SUMIFS(Transaksi!$K$6:$K320,Transaksi!$G$6:$G320,Pengaturan!$F$19))</f>
        <v/>
      </c>
      <c r="I321" s="36" t="str">
        <f aca="false">IF($B321="","",Pengaturan!$C$11+SUMIFS(Transaksi!$J$6:$J320,Transaksi!$G$6:$G320,Pengaturan!$F$20)-SUMIFS(Transaksi!$K$6:$K320,Transaksi!$G$6:$G320,Pengaturan!$F$20))</f>
        <v/>
      </c>
      <c r="J321" s="41" t="str">
        <f aca="false">IF($B321="","",H321+I321)</f>
        <v/>
      </c>
    </row>
    <row r="322" customFormat="false" ht="15" hidden="false" customHeight="false" outlineLevel="0" collapsed="false">
      <c r="B322" s="38" t="str">
        <f aca="false">IF(Transaksi!C321="","",Transaksi!C321)</f>
        <v/>
      </c>
      <c r="C322" s="39" t="str">
        <f aca="false">IF(Transaksi!C321="","",Transaksi!D321)</f>
        <v/>
      </c>
      <c r="D322" s="40" t="str">
        <f aca="false">IF(Transaksi!C321="","",Transaksi!H321)</f>
        <v/>
      </c>
      <c r="E322" s="39" t="str">
        <f aca="false">IF(Transaksi!C321="","",Transaksi!G321)</f>
        <v/>
      </c>
      <c r="F322" s="36" t="str">
        <f aca="false">IF(Transaksi!C321="","",Transaksi!J321)</f>
        <v/>
      </c>
      <c r="G322" s="36" t="str">
        <f aca="false">IF(Transaksi!C321="","",Transaksi!K321)</f>
        <v/>
      </c>
      <c r="H322" s="36" t="str">
        <f aca="false">IF($B322="","",Pengaturan!$C$10+SUMIFS(Transaksi!$J$6:$J321,Transaksi!$G$6:$G321,Pengaturan!$F$19)-SUMIFS(Transaksi!$K$6:$K321,Transaksi!$G$6:$G321,Pengaturan!$F$19))</f>
        <v/>
      </c>
      <c r="I322" s="36" t="str">
        <f aca="false">IF($B322="","",Pengaturan!$C$11+SUMIFS(Transaksi!$J$6:$J321,Transaksi!$G$6:$G321,Pengaturan!$F$20)-SUMIFS(Transaksi!$K$6:$K321,Transaksi!$G$6:$G321,Pengaturan!$F$20))</f>
        <v/>
      </c>
      <c r="J322" s="41" t="str">
        <f aca="false">IF($B322="","",H322+I322)</f>
        <v/>
      </c>
    </row>
    <row r="323" customFormat="false" ht="15" hidden="false" customHeight="false" outlineLevel="0" collapsed="false">
      <c r="B323" s="38" t="str">
        <f aca="false">IF(Transaksi!C322="","",Transaksi!C322)</f>
        <v/>
      </c>
      <c r="C323" s="39" t="str">
        <f aca="false">IF(Transaksi!C322="","",Transaksi!D322)</f>
        <v/>
      </c>
      <c r="D323" s="40" t="str">
        <f aca="false">IF(Transaksi!C322="","",Transaksi!H322)</f>
        <v/>
      </c>
      <c r="E323" s="39" t="str">
        <f aca="false">IF(Transaksi!C322="","",Transaksi!G322)</f>
        <v/>
      </c>
      <c r="F323" s="36" t="str">
        <f aca="false">IF(Transaksi!C322="","",Transaksi!J322)</f>
        <v/>
      </c>
      <c r="G323" s="36" t="str">
        <f aca="false">IF(Transaksi!C322="","",Transaksi!K322)</f>
        <v/>
      </c>
      <c r="H323" s="36" t="str">
        <f aca="false">IF($B323="","",Pengaturan!$C$10+SUMIFS(Transaksi!$J$6:$J322,Transaksi!$G$6:$G322,Pengaturan!$F$19)-SUMIFS(Transaksi!$K$6:$K322,Transaksi!$G$6:$G322,Pengaturan!$F$19))</f>
        <v/>
      </c>
      <c r="I323" s="36" t="str">
        <f aca="false">IF($B323="","",Pengaturan!$C$11+SUMIFS(Transaksi!$J$6:$J322,Transaksi!$G$6:$G322,Pengaturan!$F$20)-SUMIFS(Transaksi!$K$6:$K322,Transaksi!$G$6:$G322,Pengaturan!$F$20))</f>
        <v/>
      </c>
      <c r="J323" s="41" t="str">
        <f aca="false">IF($B323="","",H323+I323)</f>
        <v/>
      </c>
    </row>
    <row r="324" customFormat="false" ht="15" hidden="false" customHeight="false" outlineLevel="0" collapsed="false">
      <c r="B324" s="38" t="str">
        <f aca="false">IF(Transaksi!C323="","",Transaksi!C323)</f>
        <v/>
      </c>
      <c r="C324" s="39" t="str">
        <f aca="false">IF(Transaksi!C323="","",Transaksi!D323)</f>
        <v/>
      </c>
      <c r="D324" s="40" t="str">
        <f aca="false">IF(Transaksi!C323="","",Transaksi!H323)</f>
        <v/>
      </c>
      <c r="E324" s="39" t="str">
        <f aca="false">IF(Transaksi!C323="","",Transaksi!G323)</f>
        <v/>
      </c>
      <c r="F324" s="36" t="str">
        <f aca="false">IF(Transaksi!C323="","",Transaksi!J323)</f>
        <v/>
      </c>
      <c r="G324" s="36" t="str">
        <f aca="false">IF(Transaksi!C323="","",Transaksi!K323)</f>
        <v/>
      </c>
      <c r="H324" s="36" t="str">
        <f aca="false">IF($B324="","",Pengaturan!$C$10+SUMIFS(Transaksi!$J$6:$J323,Transaksi!$G$6:$G323,Pengaturan!$F$19)-SUMIFS(Transaksi!$K$6:$K323,Transaksi!$G$6:$G323,Pengaturan!$F$19))</f>
        <v/>
      </c>
      <c r="I324" s="36" t="str">
        <f aca="false">IF($B324="","",Pengaturan!$C$11+SUMIFS(Transaksi!$J$6:$J323,Transaksi!$G$6:$G323,Pengaturan!$F$20)-SUMIFS(Transaksi!$K$6:$K323,Transaksi!$G$6:$G323,Pengaturan!$F$20))</f>
        <v/>
      </c>
      <c r="J324" s="41" t="str">
        <f aca="false">IF($B324="","",H324+I324)</f>
        <v/>
      </c>
    </row>
    <row r="325" customFormat="false" ht="15" hidden="false" customHeight="false" outlineLevel="0" collapsed="false">
      <c r="B325" s="38" t="str">
        <f aca="false">IF(Transaksi!C324="","",Transaksi!C324)</f>
        <v/>
      </c>
      <c r="C325" s="39" t="str">
        <f aca="false">IF(Transaksi!C324="","",Transaksi!D324)</f>
        <v/>
      </c>
      <c r="D325" s="40" t="str">
        <f aca="false">IF(Transaksi!C324="","",Transaksi!H324)</f>
        <v/>
      </c>
      <c r="E325" s="39" t="str">
        <f aca="false">IF(Transaksi!C324="","",Transaksi!G324)</f>
        <v/>
      </c>
      <c r="F325" s="36" t="str">
        <f aca="false">IF(Transaksi!C324="","",Transaksi!J324)</f>
        <v/>
      </c>
      <c r="G325" s="36" t="str">
        <f aca="false">IF(Transaksi!C324="","",Transaksi!K324)</f>
        <v/>
      </c>
      <c r="H325" s="36" t="str">
        <f aca="false">IF($B325="","",Pengaturan!$C$10+SUMIFS(Transaksi!$J$6:$J324,Transaksi!$G$6:$G324,Pengaturan!$F$19)-SUMIFS(Transaksi!$K$6:$K324,Transaksi!$G$6:$G324,Pengaturan!$F$19))</f>
        <v/>
      </c>
      <c r="I325" s="36" t="str">
        <f aca="false">IF($B325="","",Pengaturan!$C$11+SUMIFS(Transaksi!$J$6:$J324,Transaksi!$G$6:$G324,Pengaturan!$F$20)-SUMIFS(Transaksi!$K$6:$K324,Transaksi!$G$6:$G324,Pengaturan!$F$20))</f>
        <v/>
      </c>
      <c r="J325" s="41" t="str">
        <f aca="false">IF($B325="","",H325+I325)</f>
        <v/>
      </c>
    </row>
    <row r="326" customFormat="false" ht="15" hidden="false" customHeight="false" outlineLevel="0" collapsed="false">
      <c r="B326" s="38" t="str">
        <f aca="false">IF(Transaksi!C325="","",Transaksi!C325)</f>
        <v/>
      </c>
      <c r="C326" s="39" t="str">
        <f aca="false">IF(Transaksi!C325="","",Transaksi!D325)</f>
        <v/>
      </c>
      <c r="D326" s="40" t="str">
        <f aca="false">IF(Transaksi!C325="","",Transaksi!H325)</f>
        <v/>
      </c>
      <c r="E326" s="39" t="str">
        <f aca="false">IF(Transaksi!C325="","",Transaksi!G325)</f>
        <v/>
      </c>
      <c r="F326" s="36" t="str">
        <f aca="false">IF(Transaksi!C325="","",Transaksi!J325)</f>
        <v/>
      </c>
      <c r="G326" s="36" t="str">
        <f aca="false">IF(Transaksi!C325="","",Transaksi!K325)</f>
        <v/>
      </c>
      <c r="H326" s="36" t="str">
        <f aca="false">IF($B326="","",Pengaturan!$C$10+SUMIFS(Transaksi!$J$6:$J325,Transaksi!$G$6:$G325,Pengaturan!$F$19)-SUMIFS(Transaksi!$K$6:$K325,Transaksi!$G$6:$G325,Pengaturan!$F$19))</f>
        <v/>
      </c>
      <c r="I326" s="36" t="str">
        <f aca="false">IF($B326="","",Pengaturan!$C$11+SUMIFS(Transaksi!$J$6:$J325,Transaksi!$G$6:$G325,Pengaturan!$F$20)-SUMIFS(Transaksi!$K$6:$K325,Transaksi!$G$6:$G325,Pengaturan!$F$20))</f>
        <v/>
      </c>
      <c r="J326" s="41" t="str">
        <f aca="false">IF($B326="","",H326+I326)</f>
        <v/>
      </c>
    </row>
    <row r="327" customFormat="false" ht="15" hidden="false" customHeight="false" outlineLevel="0" collapsed="false">
      <c r="B327" s="38" t="str">
        <f aca="false">IF(Transaksi!C326="","",Transaksi!C326)</f>
        <v/>
      </c>
      <c r="C327" s="39" t="str">
        <f aca="false">IF(Transaksi!C326="","",Transaksi!D326)</f>
        <v/>
      </c>
      <c r="D327" s="40" t="str">
        <f aca="false">IF(Transaksi!C326="","",Transaksi!H326)</f>
        <v/>
      </c>
      <c r="E327" s="39" t="str">
        <f aca="false">IF(Transaksi!C326="","",Transaksi!G326)</f>
        <v/>
      </c>
      <c r="F327" s="36" t="str">
        <f aca="false">IF(Transaksi!C326="","",Transaksi!J326)</f>
        <v/>
      </c>
      <c r="G327" s="36" t="str">
        <f aca="false">IF(Transaksi!C326="","",Transaksi!K326)</f>
        <v/>
      </c>
      <c r="H327" s="36" t="str">
        <f aca="false">IF($B327="","",Pengaturan!$C$10+SUMIFS(Transaksi!$J$6:$J326,Transaksi!$G$6:$G326,Pengaturan!$F$19)-SUMIFS(Transaksi!$K$6:$K326,Transaksi!$G$6:$G326,Pengaturan!$F$19))</f>
        <v/>
      </c>
      <c r="I327" s="36" t="str">
        <f aca="false">IF($B327="","",Pengaturan!$C$11+SUMIFS(Transaksi!$J$6:$J326,Transaksi!$G$6:$G326,Pengaturan!$F$20)-SUMIFS(Transaksi!$K$6:$K326,Transaksi!$G$6:$G326,Pengaturan!$F$20))</f>
        <v/>
      </c>
      <c r="J327" s="41" t="str">
        <f aca="false">IF($B327="","",H327+I327)</f>
        <v/>
      </c>
    </row>
    <row r="328" customFormat="false" ht="15" hidden="false" customHeight="false" outlineLevel="0" collapsed="false">
      <c r="B328" s="38" t="str">
        <f aca="false">IF(Transaksi!C327="","",Transaksi!C327)</f>
        <v/>
      </c>
      <c r="C328" s="39" t="str">
        <f aca="false">IF(Transaksi!C327="","",Transaksi!D327)</f>
        <v/>
      </c>
      <c r="D328" s="40" t="str">
        <f aca="false">IF(Transaksi!C327="","",Transaksi!H327)</f>
        <v/>
      </c>
      <c r="E328" s="39" t="str">
        <f aca="false">IF(Transaksi!C327="","",Transaksi!G327)</f>
        <v/>
      </c>
      <c r="F328" s="36" t="str">
        <f aca="false">IF(Transaksi!C327="","",Transaksi!J327)</f>
        <v/>
      </c>
      <c r="G328" s="36" t="str">
        <f aca="false">IF(Transaksi!C327="","",Transaksi!K327)</f>
        <v/>
      </c>
      <c r="H328" s="36" t="str">
        <f aca="false">IF($B328="","",Pengaturan!$C$10+SUMIFS(Transaksi!$J$6:$J327,Transaksi!$G$6:$G327,Pengaturan!$F$19)-SUMIFS(Transaksi!$K$6:$K327,Transaksi!$G$6:$G327,Pengaturan!$F$19))</f>
        <v/>
      </c>
      <c r="I328" s="36" t="str">
        <f aca="false">IF($B328="","",Pengaturan!$C$11+SUMIFS(Transaksi!$J$6:$J327,Transaksi!$G$6:$G327,Pengaturan!$F$20)-SUMIFS(Transaksi!$K$6:$K327,Transaksi!$G$6:$G327,Pengaturan!$F$20))</f>
        <v/>
      </c>
      <c r="J328" s="41" t="str">
        <f aca="false">IF($B328="","",H328+I328)</f>
        <v/>
      </c>
    </row>
    <row r="329" customFormat="false" ht="15" hidden="false" customHeight="false" outlineLevel="0" collapsed="false">
      <c r="B329" s="38" t="str">
        <f aca="false">IF(Transaksi!C328="","",Transaksi!C328)</f>
        <v/>
      </c>
      <c r="C329" s="39" t="str">
        <f aca="false">IF(Transaksi!C328="","",Transaksi!D328)</f>
        <v/>
      </c>
      <c r="D329" s="40" t="str">
        <f aca="false">IF(Transaksi!C328="","",Transaksi!H328)</f>
        <v/>
      </c>
      <c r="E329" s="39" t="str">
        <f aca="false">IF(Transaksi!C328="","",Transaksi!G328)</f>
        <v/>
      </c>
      <c r="F329" s="36" t="str">
        <f aca="false">IF(Transaksi!C328="","",Transaksi!J328)</f>
        <v/>
      </c>
      <c r="G329" s="36" t="str">
        <f aca="false">IF(Transaksi!C328="","",Transaksi!K328)</f>
        <v/>
      </c>
      <c r="H329" s="36" t="str">
        <f aca="false">IF($B329="","",Pengaturan!$C$10+SUMIFS(Transaksi!$J$6:$J328,Transaksi!$G$6:$G328,Pengaturan!$F$19)-SUMIFS(Transaksi!$K$6:$K328,Transaksi!$G$6:$G328,Pengaturan!$F$19))</f>
        <v/>
      </c>
      <c r="I329" s="36" t="str">
        <f aca="false">IF($B329="","",Pengaturan!$C$11+SUMIFS(Transaksi!$J$6:$J328,Transaksi!$G$6:$G328,Pengaturan!$F$20)-SUMIFS(Transaksi!$K$6:$K328,Transaksi!$G$6:$G328,Pengaturan!$F$20))</f>
        <v/>
      </c>
      <c r="J329" s="41" t="str">
        <f aca="false">IF($B329="","",H329+I329)</f>
        <v/>
      </c>
    </row>
    <row r="330" customFormat="false" ht="15" hidden="false" customHeight="false" outlineLevel="0" collapsed="false">
      <c r="B330" s="38" t="str">
        <f aca="false">IF(Transaksi!C329="","",Transaksi!C329)</f>
        <v/>
      </c>
      <c r="C330" s="39" t="str">
        <f aca="false">IF(Transaksi!C329="","",Transaksi!D329)</f>
        <v/>
      </c>
      <c r="D330" s="40" t="str">
        <f aca="false">IF(Transaksi!C329="","",Transaksi!H329)</f>
        <v/>
      </c>
      <c r="E330" s="39" t="str">
        <f aca="false">IF(Transaksi!C329="","",Transaksi!G329)</f>
        <v/>
      </c>
      <c r="F330" s="36" t="str">
        <f aca="false">IF(Transaksi!C329="","",Transaksi!J329)</f>
        <v/>
      </c>
      <c r="G330" s="36" t="str">
        <f aca="false">IF(Transaksi!C329="","",Transaksi!K329)</f>
        <v/>
      </c>
      <c r="H330" s="36" t="str">
        <f aca="false">IF($B330="","",Pengaturan!$C$10+SUMIFS(Transaksi!$J$6:$J329,Transaksi!$G$6:$G329,Pengaturan!$F$19)-SUMIFS(Transaksi!$K$6:$K329,Transaksi!$G$6:$G329,Pengaturan!$F$19))</f>
        <v/>
      </c>
      <c r="I330" s="36" t="str">
        <f aca="false">IF($B330="","",Pengaturan!$C$11+SUMIFS(Transaksi!$J$6:$J329,Transaksi!$G$6:$G329,Pengaturan!$F$20)-SUMIFS(Transaksi!$K$6:$K329,Transaksi!$G$6:$G329,Pengaturan!$F$20))</f>
        <v/>
      </c>
      <c r="J330" s="41" t="str">
        <f aca="false">IF($B330="","",H330+I330)</f>
        <v/>
      </c>
    </row>
    <row r="331" customFormat="false" ht="15" hidden="false" customHeight="false" outlineLevel="0" collapsed="false">
      <c r="B331" s="38" t="str">
        <f aca="false">IF(Transaksi!C330="","",Transaksi!C330)</f>
        <v/>
      </c>
      <c r="C331" s="39" t="str">
        <f aca="false">IF(Transaksi!C330="","",Transaksi!D330)</f>
        <v/>
      </c>
      <c r="D331" s="40" t="str">
        <f aca="false">IF(Transaksi!C330="","",Transaksi!H330)</f>
        <v/>
      </c>
      <c r="E331" s="39" t="str">
        <f aca="false">IF(Transaksi!C330="","",Transaksi!G330)</f>
        <v/>
      </c>
      <c r="F331" s="36" t="str">
        <f aca="false">IF(Transaksi!C330="","",Transaksi!J330)</f>
        <v/>
      </c>
      <c r="G331" s="36" t="str">
        <f aca="false">IF(Transaksi!C330="","",Transaksi!K330)</f>
        <v/>
      </c>
      <c r="H331" s="36" t="str">
        <f aca="false">IF($B331="","",Pengaturan!$C$10+SUMIFS(Transaksi!$J$6:$J330,Transaksi!$G$6:$G330,Pengaturan!$F$19)-SUMIFS(Transaksi!$K$6:$K330,Transaksi!$G$6:$G330,Pengaturan!$F$19))</f>
        <v/>
      </c>
      <c r="I331" s="36" t="str">
        <f aca="false">IF($B331="","",Pengaturan!$C$11+SUMIFS(Transaksi!$J$6:$J330,Transaksi!$G$6:$G330,Pengaturan!$F$20)-SUMIFS(Transaksi!$K$6:$K330,Transaksi!$G$6:$G330,Pengaturan!$F$20))</f>
        <v/>
      </c>
      <c r="J331" s="41" t="str">
        <f aca="false">IF($B331="","",H331+I331)</f>
        <v/>
      </c>
    </row>
    <row r="332" customFormat="false" ht="15" hidden="false" customHeight="false" outlineLevel="0" collapsed="false">
      <c r="B332" s="38" t="str">
        <f aca="false">IF(Transaksi!C331="","",Transaksi!C331)</f>
        <v/>
      </c>
      <c r="C332" s="39" t="str">
        <f aca="false">IF(Transaksi!C331="","",Transaksi!D331)</f>
        <v/>
      </c>
      <c r="D332" s="40" t="str">
        <f aca="false">IF(Transaksi!C331="","",Transaksi!H331)</f>
        <v/>
      </c>
      <c r="E332" s="39" t="str">
        <f aca="false">IF(Transaksi!C331="","",Transaksi!G331)</f>
        <v/>
      </c>
      <c r="F332" s="36" t="str">
        <f aca="false">IF(Transaksi!C331="","",Transaksi!J331)</f>
        <v/>
      </c>
      <c r="G332" s="36" t="str">
        <f aca="false">IF(Transaksi!C331="","",Transaksi!K331)</f>
        <v/>
      </c>
      <c r="H332" s="36" t="str">
        <f aca="false">IF($B332="","",Pengaturan!$C$10+SUMIFS(Transaksi!$J$6:$J331,Transaksi!$G$6:$G331,Pengaturan!$F$19)-SUMIFS(Transaksi!$K$6:$K331,Transaksi!$G$6:$G331,Pengaturan!$F$19))</f>
        <v/>
      </c>
      <c r="I332" s="36" t="str">
        <f aca="false">IF($B332="","",Pengaturan!$C$11+SUMIFS(Transaksi!$J$6:$J331,Transaksi!$G$6:$G331,Pengaturan!$F$20)-SUMIFS(Transaksi!$K$6:$K331,Transaksi!$G$6:$G331,Pengaturan!$F$20))</f>
        <v/>
      </c>
      <c r="J332" s="41" t="str">
        <f aca="false">IF($B332="","",H332+I332)</f>
        <v/>
      </c>
    </row>
    <row r="333" customFormat="false" ht="15" hidden="false" customHeight="false" outlineLevel="0" collapsed="false">
      <c r="B333" s="38" t="str">
        <f aca="false">IF(Transaksi!C332="","",Transaksi!C332)</f>
        <v/>
      </c>
      <c r="C333" s="39" t="str">
        <f aca="false">IF(Transaksi!C332="","",Transaksi!D332)</f>
        <v/>
      </c>
      <c r="D333" s="40" t="str">
        <f aca="false">IF(Transaksi!C332="","",Transaksi!H332)</f>
        <v/>
      </c>
      <c r="E333" s="39" t="str">
        <f aca="false">IF(Transaksi!C332="","",Transaksi!G332)</f>
        <v/>
      </c>
      <c r="F333" s="36" t="str">
        <f aca="false">IF(Transaksi!C332="","",Transaksi!J332)</f>
        <v/>
      </c>
      <c r="G333" s="36" t="str">
        <f aca="false">IF(Transaksi!C332="","",Transaksi!K332)</f>
        <v/>
      </c>
      <c r="H333" s="36" t="str">
        <f aca="false">IF($B333="","",Pengaturan!$C$10+SUMIFS(Transaksi!$J$6:$J332,Transaksi!$G$6:$G332,Pengaturan!$F$19)-SUMIFS(Transaksi!$K$6:$K332,Transaksi!$G$6:$G332,Pengaturan!$F$19))</f>
        <v/>
      </c>
      <c r="I333" s="36" t="str">
        <f aca="false">IF($B333="","",Pengaturan!$C$11+SUMIFS(Transaksi!$J$6:$J332,Transaksi!$G$6:$G332,Pengaturan!$F$20)-SUMIFS(Transaksi!$K$6:$K332,Transaksi!$G$6:$G332,Pengaturan!$F$20))</f>
        <v/>
      </c>
      <c r="J333" s="41" t="str">
        <f aca="false">IF($B333="","",H333+I333)</f>
        <v/>
      </c>
    </row>
    <row r="334" customFormat="false" ht="15" hidden="false" customHeight="false" outlineLevel="0" collapsed="false">
      <c r="B334" s="38" t="str">
        <f aca="false">IF(Transaksi!C333="","",Transaksi!C333)</f>
        <v/>
      </c>
      <c r="C334" s="39" t="str">
        <f aca="false">IF(Transaksi!C333="","",Transaksi!D333)</f>
        <v/>
      </c>
      <c r="D334" s="40" t="str">
        <f aca="false">IF(Transaksi!C333="","",Transaksi!H333)</f>
        <v/>
      </c>
      <c r="E334" s="39" t="str">
        <f aca="false">IF(Transaksi!C333="","",Transaksi!G333)</f>
        <v/>
      </c>
      <c r="F334" s="36" t="str">
        <f aca="false">IF(Transaksi!C333="","",Transaksi!J333)</f>
        <v/>
      </c>
      <c r="G334" s="36" t="str">
        <f aca="false">IF(Transaksi!C333="","",Transaksi!K333)</f>
        <v/>
      </c>
      <c r="H334" s="36" t="str">
        <f aca="false">IF($B334="","",Pengaturan!$C$10+SUMIFS(Transaksi!$J$6:$J333,Transaksi!$G$6:$G333,Pengaturan!$F$19)-SUMIFS(Transaksi!$K$6:$K333,Transaksi!$G$6:$G333,Pengaturan!$F$19))</f>
        <v/>
      </c>
      <c r="I334" s="36" t="str">
        <f aca="false">IF($B334="","",Pengaturan!$C$11+SUMIFS(Transaksi!$J$6:$J333,Transaksi!$G$6:$G333,Pengaturan!$F$20)-SUMIFS(Transaksi!$K$6:$K333,Transaksi!$G$6:$G333,Pengaturan!$F$20))</f>
        <v/>
      </c>
      <c r="J334" s="41" t="str">
        <f aca="false">IF($B334="","",H334+I334)</f>
        <v/>
      </c>
    </row>
    <row r="335" customFormat="false" ht="15" hidden="false" customHeight="false" outlineLevel="0" collapsed="false">
      <c r="B335" s="38" t="str">
        <f aca="false">IF(Transaksi!C334="","",Transaksi!C334)</f>
        <v/>
      </c>
      <c r="C335" s="39" t="str">
        <f aca="false">IF(Transaksi!C334="","",Transaksi!D334)</f>
        <v/>
      </c>
      <c r="D335" s="40" t="str">
        <f aca="false">IF(Transaksi!C334="","",Transaksi!H334)</f>
        <v/>
      </c>
      <c r="E335" s="39" t="str">
        <f aca="false">IF(Transaksi!C334="","",Transaksi!G334)</f>
        <v/>
      </c>
      <c r="F335" s="36" t="str">
        <f aca="false">IF(Transaksi!C334="","",Transaksi!J334)</f>
        <v/>
      </c>
      <c r="G335" s="36" t="str">
        <f aca="false">IF(Transaksi!C334="","",Transaksi!K334)</f>
        <v/>
      </c>
      <c r="H335" s="36" t="str">
        <f aca="false">IF($B335="","",Pengaturan!$C$10+SUMIFS(Transaksi!$J$6:$J334,Transaksi!$G$6:$G334,Pengaturan!$F$19)-SUMIFS(Transaksi!$K$6:$K334,Transaksi!$G$6:$G334,Pengaturan!$F$19))</f>
        <v/>
      </c>
      <c r="I335" s="36" t="str">
        <f aca="false">IF($B335="","",Pengaturan!$C$11+SUMIFS(Transaksi!$J$6:$J334,Transaksi!$G$6:$G334,Pengaturan!$F$20)-SUMIFS(Transaksi!$K$6:$K334,Transaksi!$G$6:$G334,Pengaturan!$F$20))</f>
        <v/>
      </c>
      <c r="J335" s="41" t="str">
        <f aca="false">IF($B335="","",H335+I335)</f>
        <v/>
      </c>
    </row>
    <row r="336" customFormat="false" ht="15" hidden="false" customHeight="false" outlineLevel="0" collapsed="false">
      <c r="B336" s="38" t="str">
        <f aca="false">IF(Transaksi!C335="","",Transaksi!C335)</f>
        <v/>
      </c>
      <c r="C336" s="39" t="str">
        <f aca="false">IF(Transaksi!C335="","",Transaksi!D335)</f>
        <v/>
      </c>
      <c r="D336" s="40" t="str">
        <f aca="false">IF(Transaksi!C335="","",Transaksi!H335)</f>
        <v/>
      </c>
      <c r="E336" s="39" t="str">
        <f aca="false">IF(Transaksi!C335="","",Transaksi!G335)</f>
        <v/>
      </c>
      <c r="F336" s="36" t="str">
        <f aca="false">IF(Transaksi!C335="","",Transaksi!J335)</f>
        <v/>
      </c>
      <c r="G336" s="36" t="str">
        <f aca="false">IF(Transaksi!C335="","",Transaksi!K335)</f>
        <v/>
      </c>
      <c r="H336" s="36" t="str">
        <f aca="false">IF($B336="","",Pengaturan!$C$10+SUMIFS(Transaksi!$J$6:$J335,Transaksi!$G$6:$G335,Pengaturan!$F$19)-SUMIFS(Transaksi!$K$6:$K335,Transaksi!$G$6:$G335,Pengaturan!$F$19))</f>
        <v/>
      </c>
      <c r="I336" s="36" t="str">
        <f aca="false">IF($B336="","",Pengaturan!$C$11+SUMIFS(Transaksi!$J$6:$J335,Transaksi!$G$6:$G335,Pengaturan!$F$20)-SUMIFS(Transaksi!$K$6:$K335,Transaksi!$G$6:$G335,Pengaturan!$F$20))</f>
        <v/>
      </c>
      <c r="J336" s="41" t="str">
        <f aca="false">IF($B336="","",H336+I336)</f>
        <v/>
      </c>
    </row>
    <row r="337" customFormat="false" ht="15" hidden="false" customHeight="false" outlineLevel="0" collapsed="false">
      <c r="B337" s="38" t="str">
        <f aca="false">IF(Transaksi!C336="","",Transaksi!C336)</f>
        <v/>
      </c>
      <c r="C337" s="39" t="str">
        <f aca="false">IF(Transaksi!C336="","",Transaksi!D336)</f>
        <v/>
      </c>
      <c r="D337" s="40" t="str">
        <f aca="false">IF(Transaksi!C336="","",Transaksi!H336)</f>
        <v/>
      </c>
      <c r="E337" s="39" t="str">
        <f aca="false">IF(Transaksi!C336="","",Transaksi!G336)</f>
        <v/>
      </c>
      <c r="F337" s="36" t="str">
        <f aca="false">IF(Transaksi!C336="","",Transaksi!J336)</f>
        <v/>
      </c>
      <c r="G337" s="36" t="str">
        <f aca="false">IF(Transaksi!C336="","",Transaksi!K336)</f>
        <v/>
      </c>
      <c r="H337" s="36" t="str">
        <f aca="false">IF($B337="","",Pengaturan!$C$10+SUMIFS(Transaksi!$J$6:$J336,Transaksi!$G$6:$G336,Pengaturan!$F$19)-SUMIFS(Transaksi!$K$6:$K336,Transaksi!$G$6:$G336,Pengaturan!$F$19))</f>
        <v/>
      </c>
      <c r="I337" s="36" t="str">
        <f aca="false">IF($B337="","",Pengaturan!$C$11+SUMIFS(Transaksi!$J$6:$J336,Transaksi!$G$6:$G336,Pengaturan!$F$20)-SUMIFS(Transaksi!$K$6:$K336,Transaksi!$G$6:$G336,Pengaturan!$F$20))</f>
        <v/>
      </c>
      <c r="J337" s="41" t="str">
        <f aca="false">IF($B337="","",H337+I337)</f>
        <v/>
      </c>
    </row>
    <row r="338" customFormat="false" ht="15" hidden="false" customHeight="false" outlineLevel="0" collapsed="false">
      <c r="B338" s="38" t="str">
        <f aca="false">IF(Transaksi!C337="","",Transaksi!C337)</f>
        <v/>
      </c>
      <c r="C338" s="39" t="str">
        <f aca="false">IF(Transaksi!C337="","",Transaksi!D337)</f>
        <v/>
      </c>
      <c r="D338" s="40" t="str">
        <f aca="false">IF(Transaksi!C337="","",Transaksi!H337)</f>
        <v/>
      </c>
      <c r="E338" s="39" t="str">
        <f aca="false">IF(Transaksi!C337="","",Transaksi!G337)</f>
        <v/>
      </c>
      <c r="F338" s="36" t="str">
        <f aca="false">IF(Transaksi!C337="","",Transaksi!J337)</f>
        <v/>
      </c>
      <c r="G338" s="36" t="str">
        <f aca="false">IF(Transaksi!C337="","",Transaksi!K337)</f>
        <v/>
      </c>
      <c r="H338" s="36" t="str">
        <f aca="false">IF($B338="","",Pengaturan!$C$10+SUMIFS(Transaksi!$J$6:$J337,Transaksi!$G$6:$G337,Pengaturan!$F$19)-SUMIFS(Transaksi!$K$6:$K337,Transaksi!$G$6:$G337,Pengaturan!$F$19))</f>
        <v/>
      </c>
      <c r="I338" s="36" t="str">
        <f aca="false">IF($B338="","",Pengaturan!$C$11+SUMIFS(Transaksi!$J$6:$J337,Transaksi!$G$6:$G337,Pengaturan!$F$20)-SUMIFS(Transaksi!$K$6:$K337,Transaksi!$G$6:$G337,Pengaturan!$F$20))</f>
        <v/>
      </c>
      <c r="J338" s="41" t="str">
        <f aca="false">IF($B338="","",H338+I338)</f>
        <v/>
      </c>
    </row>
    <row r="339" customFormat="false" ht="15" hidden="false" customHeight="false" outlineLevel="0" collapsed="false">
      <c r="B339" s="38" t="str">
        <f aca="false">IF(Transaksi!C338="","",Transaksi!C338)</f>
        <v/>
      </c>
      <c r="C339" s="39" t="str">
        <f aca="false">IF(Transaksi!C338="","",Transaksi!D338)</f>
        <v/>
      </c>
      <c r="D339" s="40" t="str">
        <f aca="false">IF(Transaksi!C338="","",Transaksi!H338)</f>
        <v/>
      </c>
      <c r="E339" s="39" t="str">
        <f aca="false">IF(Transaksi!C338="","",Transaksi!G338)</f>
        <v/>
      </c>
      <c r="F339" s="36" t="str">
        <f aca="false">IF(Transaksi!C338="","",Transaksi!J338)</f>
        <v/>
      </c>
      <c r="G339" s="36" t="str">
        <f aca="false">IF(Transaksi!C338="","",Transaksi!K338)</f>
        <v/>
      </c>
      <c r="H339" s="36" t="str">
        <f aca="false">IF($B339="","",Pengaturan!$C$10+SUMIFS(Transaksi!$J$6:$J338,Transaksi!$G$6:$G338,Pengaturan!$F$19)-SUMIFS(Transaksi!$K$6:$K338,Transaksi!$G$6:$G338,Pengaturan!$F$19))</f>
        <v/>
      </c>
      <c r="I339" s="36" t="str">
        <f aca="false">IF($B339="","",Pengaturan!$C$11+SUMIFS(Transaksi!$J$6:$J338,Transaksi!$G$6:$G338,Pengaturan!$F$20)-SUMIFS(Transaksi!$K$6:$K338,Transaksi!$G$6:$G338,Pengaturan!$F$20))</f>
        <v/>
      </c>
      <c r="J339" s="41" t="str">
        <f aca="false">IF($B339="","",H339+I339)</f>
        <v/>
      </c>
    </row>
    <row r="340" customFormat="false" ht="15" hidden="false" customHeight="false" outlineLevel="0" collapsed="false">
      <c r="B340" s="38" t="str">
        <f aca="false">IF(Transaksi!C339="","",Transaksi!C339)</f>
        <v/>
      </c>
      <c r="C340" s="39" t="str">
        <f aca="false">IF(Transaksi!C339="","",Transaksi!D339)</f>
        <v/>
      </c>
      <c r="D340" s="40" t="str">
        <f aca="false">IF(Transaksi!C339="","",Transaksi!H339)</f>
        <v/>
      </c>
      <c r="E340" s="39" t="str">
        <f aca="false">IF(Transaksi!C339="","",Transaksi!G339)</f>
        <v/>
      </c>
      <c r="F340" s="36" t="str">
        <f aca="false">IF(Transaksi!C339="","",Transaksi!J339)</f>
        <v/>
      </c>
      <c r="G340" s="36" t="str">
        <f aca="false">IF(Transaksi!C339="","",Transaksi!K339)</f>
        <v/>
      </c>
      <c r="H340" s="36" t="str">
        <f aca="false">IF($B340="","",Pengaturan!$C$10+SUMIFS(Transaksi!$J$6:$J339,Transaksi!$G$6:$G339,Pengaturan!$F$19)-SUMIFS(Transaksi!$K$6:$K339,Transaksi!$G$6:$G339,Pengaturan!$F$19))</f>
        <v/>
      </c>
      <c r="I340" s="36" t="str">
        <f aca="false">IF($B340="","",Pengaturan!$C$11+SUMIFS(Transaksi!$J$6:$J339,Transaksi!$G$6:$G339,Pengaturan!$F$20)-SUMIFS(Transaksi!$K$6:$K339,Transaksi!$G$6:$G339,Pengaturan!$F$20))</f>
        <v/>
      </c>
      <c r="J340" s="41" t="str">
        <f aca="false">IF($B340="","",H340+I340)</f>
        <v/>
      </c>
    </row>
    <row r="341" customFormat="false" ht="15" hidden="false" customHeight="false" outlineLevel="0" collapsed="false">
      <c r="B341" s="38" t="str">
        <f aca="false">IF(Transaksi!C340="","",Transaksi!C340)</f>
        <v/>
      </c>
      <c r="C341" s="39" t="str">
        <f aca="false">IF(Transaksi!C340="","",Transaksi!D340)</f>
        <v/>
      </c>
      <c r="D341" s="40" t="str">
        <f aca="false">IF(Transaksi!C340="","",Transaksi!H340)</f>
        <v/>
      </c>
      <c r="E341" s="39" t="str">
        <f aca="false">IF(Transaksi!C340="","",Transaksi!G340)</f>
        <v/>
      </c>
      <c r="F341" s="36" t="str">
        <f aca="false">IF(Transaksi!C340="","",Transaksi!J340)</f>
        <v/>
      </c>
      <c r="G341" s="36" t="str">
        <f aca="false">IF(Transaksi!C340="","",Transaksi!K340)</f>
        <v/>
      </c>
      <c r="H341" s="36" t="str">
        <f aca="false">IF($B341="","",Pengaturan!$C$10+SUMIFS(Transaksi!$J$6:$J340,Transaksi!$G$6:$G340,Pengaturan!$F$19)-SUMIFS(Transaksi!$K$6:$K340,Transaksi!$G$6:$G340,Pengaturan!$F$19))</f>
        <v/>
      </c>
      <c r="I341" s="36" t="str">
        <f aca="false">IF($B341="","",Pengaturan!$C$11+SUMIFS(Transaksi!$J$6:$J340,Transaksi!$G$6:$G340,Pengaturan!$F$20)-SUMIFS(Transaksi!$K$6:$K340,Transaksi!$G$6:$G340,Pengaturan!$F$20))</f>
        <v/>
      </c>
      <c r="J341" s="41" t="str">
        <f aca="false">IF($B341="","",H341+I341)</f>
        <v/>
      </c>
    </row>
    <row r="342" customFormat="false" ht="15" hidden="false" customHeight="false" outlineLevel="0" collapsed="false">
      <c r="B342" s="38" t="str">
        <f aca="false">IF(Transaksi!C341="","",Transaksi!C341)</f>
        <v/>
      </c>
      <c r="C342" s="39" t="str">
        <f aca="false">IF(Transaksi!C341="","",Transaksi!D341)</f>
        <v/>
      </c>
      <c r="D342" s="40" t="str">
        <f aca="false">IF(Transaksi!C341="","",Transaksi!H341)</f>
        <v/>
      </c>
      <c r="E342" s="39" t="str">
        <f aca="false">IF(Transaksi!C341="","",Transaksi!G341)</f>
        <v/>
      </c>
      <c r="F342" s="36" t="str">
        <f aca="false">IF(Transaksi!C341="","",Transaksi!J341)</f>
        <v/>
      </c>
      <c r="G342" s="36" t="str">
        <f aca="false">IF(Transaksi!C341="","",Transaksi!K341)</f>
        <v/>
      </c>
      <c r="H342" s="36" t="str">
        <f aca="false">IF($B342="","",Pengaturan!$C$10+SUMIFS(Transaksi!$J$6:$J341,Transaksi!$G$6:$G341,Pengaturan!$F$19)-SUMIFS(Transaksi!$K$6:$K341,Transaksi!$G$6:$G341,Pengaturan!$F$19))</f>
        <v/>
      </c>
      <c r="I342" s="36" t="str">
        <f aca="false">IF($B342="","",Pengaturan!$C$11+SUMIFS(Transaksi!$J$6:$J341,Transaksi!$G$6:$G341,Pengaturan!$F$20)-SUMIFS(Transaksi!$K$6:$K341,Transaksi!$G$6:$G341,Pengaturan!$F$20))</f>
        <v/>
      </c>
      <c r="J342" s="41" t="str">
        <f aca="false">IF($B342="","",H342+I342)</f>
        <v/>
      </c>
    </row>
    <row r="343" customFormat="false" ht="15" hidden="false" customHeight="false" outlineLevel="0" collapsed="false">
      <c r="B343" s="38" t="str">
        <f aca="false">IF(Transaksi!C342="","",Transaksi!C342)</f>
        <v/>
      </c>
      <c r="C343" s="39" t="str">
        <f aca="false">IF(Transaksi!C342="","",Transaksi!D342)</f>
        <v/>
      </c>
      <c r="D343" s="40" t="str">
        <f aca="false">IF(Transaksi!C342="","",Transaksi!H342)</f>
        <v/>
      </c>
      <c r="E343" s="39" t="str">
        <f aca="false">IF(Transaksi!C342="","",Transaksi!G342)</f>
        <v/>
      </c>
      <c r="F343" s="36" t="str">
        <f aca="false">IF(Transaksi!C342="","",Transaksi!J342)</f>
        <v/>
      </c>
      <c r="G343" s="36" t="str">
        <f aca="false">IF(Transaksi!C342="","",Transaksi!K342)</f>
        <v/>
      </c>
      <c r="H343" s="36" t="str">
        <f aca="false">IF($B343="","",Pengaturan!$C$10+SUMIFS(Transaksi!$J$6:$J342,Transaksi!$G$6:$G342,Pengaturan!$F$19)-SUMIFS(Transaksi!$K$6:$K342,Transaksi!$G$6:$G342,Pengaturan!$F$19))</f>
        <v/>
      </c>
      <c r="I343" s="36" t="str">
        <f aca="false">IF($B343="","",Pengaturan!$C$11+SUMIFS(Transaksi!$J$6:$J342,Transaksi!$G$6:$G342,Pengaturan!$F$20)-SUMIFS(Transaksi!$K$6:$K342,Transaksi!$G$6:$G342,Pengaturan!$F$20))</f>
        <v/>
      </c>
      <c r="J343" s="41" t="str">
        <f aca="false">IF($B343="","",H343+I343)</f>
        <v/>
      </c>
    </row>
    <row r="344" customFormat="false" ht="15" hidden="false" customHeight="false" outlineLevel="0" collapsed="false">
      <c r="B344" s="38" t="str">
        <f aca="false">IF(Transaksi!C343="","",Transaksi!C343)</f>
        <v/>
      </c>
      <c r="C344" s="39" t="str">
        <f aca="false">IF(Transaksi!C343="","",Transaksi!D343)</f>
        <v/>
      </c>
      <c r="D344" s="40" t="str">
        <f aca="false">IF(Transaksi!C343="","",Transaksi!H343)</f>
        <v/>
      </c>
      <c r="E344" s="39" t="str">
        <f aca="false">IF(Transaksi!C343="","",Transaksi!G343)</f>
        <v/>
      </c>
      <c r="F344" s="36" t="str">
        <f aca="false">IF(Transaksi!C343="","",Transaksi!J343)</f>
        <v/>
      </c>
      <c r="G344" s="36" t="str">
        <f aca="false">IF(Transaksi!C343="","",Transaksi!K343)</f>
        <v/>
      </c>
      <c r="H344" s="36" t="str">
        <f aca="false">IF($B344="","",Pengaturan!$C$10+SUMIFS(Transaksi!$J$6:$J343,Transaksi!$G$6:$G343,Pengaturan!$F$19)-SUMIFS(Transaksi!$K$6:$K343,Transaksi!$G$6:$G343,Pengaturan!$F$19))</f>
        <v/>
      </c>
      <c r="I344" s="36" t="str">
        <f aca="false">IF($B344="","",Pengaturan!$C$11+SUMIFS(Transaksi!$J$6:$J343,Transaksi!$G$6:$G343,Pengaturan!$F$20)-SUMIFS(Transaksi!$K$6:$K343,Transaksi!$G$6:$G343,Pengaturan!$F$20))</f>
        <v/>
      </c>
      <c r="J344" s="41" t="str">
        <f aca="false">IF($B344="","",H344+I344)</f>
        <v/>
      </c>
    </row>
    <row r="345" customFormat="false" ht="15" hidden="false" customHeight="false" outlineLevel="0" collapsed="false">
      <c r="B345" s="38" t="str">
        <f aca="false">IF(Transaksi!C344="","",Transaksi!C344)</f>
        <v/>
      </c>
      <c r="C345" s="39" t="str">
        <f aca="false">IF(Transaksi!C344="","",Transaksi!D344)</f>
        <v/>
      </c>
      <c r="D345" s="40" t="str">
        <f aca="false">IF(Transaksi!C344="","",Transaksi!H344)</f>
        <v/>
      </c>
      <c r="E345" s="39" t="str">
        <f aca="false">IF(Transaksi!C344="","",Transaksi!G344)</f>
        <v/>
      </c>
      <c r="F345" s="36" t="str">
        <f aca="false">IF(Transaksi!C344="","",Transaksi!J344)</f>
        <v/>
      </c>
      <c r="G345" s="36" t="str">
        <f aca="false">IF(Transaksi!C344="","",Transaksi!K344)</f>
        <v/>
      </c>
      <c r="H345" s="36" t="str">
        <f aca="false">IF($B345="","",Pengaturan!$C$10+SUMIFS(Transaksi!$J$6:$J344,Transaksi!$G$6:$G344,Pengaturan!$F$19)-SUMIFS(Transaksi!$K$6:$K344,Transaksi!$G$6:$G344,Pengaturan!$F$19))</f>
        <v/>
      </c>
      <c r="I345" s="36" t="str">
        <f aca="false">IF($B345="","",Pengaturan!$C$11+SUMIFS(Transaksi!$J$6:$J344,Transaksi!$G$6:$G344,Pengaturan!$F$20)-SUMIFS(Transaksi!$K$6:$K344,Transaksi!$G$6:$G344,Pengaturan!$F$20))</f>
        <v/>
      </c>
      <c r="J345" s="41" t="str">
        <f aca="false">IF($B345="","",H345+I345)</f>
        <v/>
      </c>
    </row>
    <row r="346" customFormat="false" ht="15" hidden="false" customHeight="false" outlineLevel="0" collapsed="false">
      <c r="B346" s="38" t="str">
        <f aca="false">IF(Transaksi!C345="","",Transaksi!C345)</f>
        <v/>
      </c>
      <c r="C346" s="39" t="str">
        <f aca="false">IF(Transaksi!C345="","",Transaksi!D345)</f>
        <v/>
      </c>
      <c r="D346" s="40" t="str">
        <f aca="false">IF(Transaksi!C345="","",Transaksi!H345)</f>
        <v/>
      </c>
      <c r="E346" s="39" t="str">
        <f aca="false">IF(Transaksi!C345="","",Transaksi!G345)</f>
        <v/>
      </c>
      <c r="F346" s="36" t="str">
        <f aca="false">IF(Transaksi!C345="","",Transaksi!J345)</f>
        <v/>
      </c>
      <c r="G346" s="36" t="str">
        <f aca="false">IF(Transaksi!C345="","",Transaksi!K345)</f>
        <v/>
      </c>
      <c r="H346" s="36" t="str">
        <f aca="false">IF($B346="","",Pengaturan!$C$10+SUMIFS(Transaksi!$J$6:$J345,Transaksi!$G$6:$G345,Pengaturan!$F$19)-SUMIFS(Transaksi!$K$6:$K345,Transaksi!$G$6:$G345,Pengaturan!$F$19))</f>
        <v/>
      </c>
      <c r="I346" s="36" t="str">
        <f aca="false">IF($B346="","",Pengaturan!$C$11+SUMIFS(Transaksi!$J$6:$J345,Transaksi!$G$6:$G345,Pengaturan!$F$20)-SUMIFS(Transaksi!$K$6:$K345,Transaksi!$G$6:$G345,Pengaturan!$F$20))</f>
        <v/>
      </c>
      <c r="J346" s="41" t="str">
        <f aca="false">IF($B346="","",H346+I346)</f>
        <v/>
      </c>
    </row>
    <row r="347" customFormat="false" ht="15" hidden="false" customHeight="false" outlineLevel="0" collapsed="false">
      <c r="B347" s="38" t="str">
        <f aca="false">IF(Transaksi!C346="","",Transaksi!C346)</f>
        <v/>
      </c>
      <c r="C347" s="39" t="str">
        <f aca="false">IF(Transaksi!C346="","",Transaksi!D346)</f>
        <v/>
      </c>
      <c r="D347" s="40" t="str">
        <f aca="false">IF(Transaksi!C346="","",Transaksi!H346)</f>
        <v/>
      </c>
      <c r="E347" s="39" t="str">
        <f aca="false">IF(Transaksi!C346="","",Transaksi!G346)</f>
        <v/>
      </c>
      <c r="F347" s="36" t="str">
        <f aca="false">IF(Transaksi!C346="","",Transaksi!J346)</f>
        <v/>
      </c>
      <c r="G347" s="36" t="str">
        <f aca="false">IF(Transaksi!C346="","",Transaksi!K346)</f>
        <v/>
      </c>
      <c r="H347" s="36" t="str">
        <f aca="false">IF($B347="","",Pengaturan!$C$10+SUMIFS(Transaksi!$J$6:$J346,Transaksi!$G$6:$G346,Pengaturan!$F$19)-SUMIFS(Transaksi!$K$6:$K346,Transaksi!$G$6:$G346,Pengaturan!$F$19))</f>
        <v/>
      </c>
      <c r="I347" s="36" t="str">
        <f aca="false">IF($B347="","",Pengaturan!$C$11+SUMIFS(Transaksi!$J$6:$J346,Transaksi!$G$6:$G346,Pengaturan!$F$20)-SUMIFS(Transaksi!$K$6:$K346,Transaksi!$G$6:$G346,Pengaturan!$F$20))</f>
        <v/>
      </c>
      <c r="J347" s="41" t="str">
        <f aca="false">IF($B347="","",H347+I347)</f>
        <v/>
      </c>
    </row>
    <row r="348" customFormat="false" ht="15" hidden="false" customHeight="false" outlineLevel="0" collapsed="false">
      <c r="B348" s="38" t="str">
        <f aca="false">IF(Transaksi!C347="","",Transaksi!C347)</f>
        <v/>
      </c>
      <c r="C348" s="39" t="str">
        <f aca="false">IF(Transaksi!C347="","",Transaksi!D347)</f>
        <v/>
      </c>
      <c r="D348" s="40" t="str">
        <f aca="false">IF(Transaksi!C347="","",Transaksi!H347)</f>
        <v/>
      </c>
      <c r="E348" s="39" t="str">
        <f aca="false">IF(Transaksi!C347="","",Transaksi!G347)</f>
        <v/>
      </c>
      <c r="F348" s="36" t="str">
        <f aca="false">IF(Transaksi!C347="","",Transaksi!J347)</f>
        <v/>
      </c>
      <c r="G348" s="36" t="str">
        <f aca="false">IF(Transaksi!C347="","",Transaksi!K347)</f>
        <v/>
      </c>
      <c r="H348" s="36" t="str">
        <f aca="false">IF($B348="","",Pengaturan!$C$10+SUMIFS(Transaksi!$J$6:$J347,Transaksi!$G$6:$G347,Pengaturan!$F$19)-SUMIFS(Transaksi!$K$6:$K347,Transaksi!$G$6:$G347,Pengaturan!$F$19))</f>
        <v/>
      </c>
      <c r="I348" s="36" t="str">
        <f aca="false">IF($B348="","",Pengaturan!$C$11+SUMIFS(Transaksi!$J$6:$J347,Transaksi!$G$6:$G347,Pengaturan!$F$20)-SUMIFS(Transaksi!$K$6:$K347,Transaksi!$G$6:$G347,Pengaturan!$F$20))</f>
        <v/>
      </c>
      <c r="J348" s="41" t="str">
        <f aca="false">IF($B348="","",H348+I348)</f>
        <v/>
      </c>
    </row>
    <row r="349" customFormat="false" ht="15" hidden="false" customHeight="false" outlineLevel="0" collapsed="false">
      <c r="B349" s="38" t="str">
        <f aca="false">IF(Transaksi!C348="","",Transaksi!C348)</f>
        <v/>
      </c>
      <c r="C349" s="39" t="str">
        <f aca="false">IF(Transaksi!C348="","",Transaksi!D348)</f>
        <v/>
      </c>
      <c r="D349" s="40" t="str">
        <f aca="false">IF(Transaksi!C348="","",Transaksi!H348)</f>
        <v/>
      </c>
      <c r="E349" s="39" t="str">
        <f aca="false">IF(Transaksi!C348="","",Transaksi!G348)</f>
        <v/>
      </c>
      <c r="F349" s="36" t="str">
        <f aca="false">IF(Transaksi!C348="","",Transaksi!J348)</f>
        <v/>
      </c>
      <c r="G349" s="36" t="str">
        <f aca="false">IF(Transaksi!C348="","",Transaksi!K348)</f>
        <v/>
      </c>
      <c r="H349" s="36" t="str">
        <f aca="false">IF($B349="","",Pengaturan!$C$10+SUMIFS(Transaksi!$J$6:$J348,Transaksi!$G$6:$G348,Pengaturan!$F$19)-SUMIFS(Transaksi!$K$6:$K348,Transaksi!$G$6:$G348,Pengaturan!$F$19))</f>
        <v/>
      </c>
      <c r="I349" s="36" t="str">
        <f aca="false">IF($B349="","",Pengaturan!$C$11+SUMIFS(Transaksi!$J$6:$J348,Transaksi!$G$6:$G348,Pengaturan!$F$20)-SUMIFS(Transaksi!$K$6:$K348,Transaksi!$G$6:$G348,Pengaturan!$F$20))</f>
        <v/>
      </c>
      <c r="J349" s="41" t="str">
        <f aca="false">IF($B349="","",H349+I349)</f>
        <v/>
      </c>
    </row>
    <row r="350" customFormat="false" ht="15" hidden="false" customHeight="false" outlineLevel="0" collapsed="false">
      <c r="B350" s="38" t="str">
        <f aca="false">IF(Transaksi!C349="","",Transaksi!C349)</f>
        <v/>
      </c>
      <c r="C350" s="39" t="str">
        <f aca="false">IF(Transaksi!C349="","",Transaksi!D349)</f>
        <v/>
      </c>
      <c r="D350" s="40" t="str">
        <f aca="false">IF(Transaksi!C349="","",Transaksi!H349)</f>
        <v/>
      </c>
      <c r="E350" s="39" t="str">
        <f aca="false">IF(Transaksi!C349="","",Transaksi!G349)</f>
        <v/>
      </c>
      <c r="F350" s="36" t="str">
        <f aca="false">IF(Transaksi!C349="","",Transaksi!J349)</f>
        <v/>
      </c>
      <c r="G350" s="36" t="str">
        <f aca="false">IF(Transaksi!C349="","",Transaksi!K349)</f>
        <v/>
      </c>
      <c r="H350" s="36" t="str">
        <f aca="false">IF($B350="","",Pengaturan!$C$10+SUMIFS(Transaksi!$J$6:$J349,Transaksi!$G$6:$G349,Pengaturan!$F$19)-SUMIFS(Transaksi!$K$6:$K349,Transaksi!$G$6:$G349,Pengaturan!$F$19))</f>
        <v/>
      </c>
      <c r="I350" s="36" t="str">
        <f aca="false">IF($B350="","",Pengaturan!$C$11+SUMIFS(Transaksi!$J$6:$J349,Transaksi!$G$6:$G349,Pengaturan!$F$20)-SUMIFS(Transaksi!$K$6:$K349,Transaksi!$G$6:$G349,Pengaturan!$F$20))</f>
        <v/>
      </c>
      <c r="J350" s="41" t="str">
        <f aca="false">IF($B350="","",H350+I350)</f>
        <v/>
      </c>
    </row>
    <row r="351" customFormat="false" ht="15" hidden="false" customHeight="false" outlineLevel="0" collapsed="false">
      <c r="B351" s="38" t="str">
        <f aca="false">IF(Transaksi!C350="","",Transaksi!C350)</f>
        <v/>
      </c>
      <c r="C351" s="39" t="str">
        <f aca="false">IF(Transaksi!C350="","",Transaksi!D350)</f>
        <v/>
      </c>
      <c r="D351" s="40" t="str">
        <f aca="false">IF(Transaksi!C350="","",Transaksi!H350)</f>
        <v/>
      </c>
      <c r="E351" s="39" t="str">
        <f aca="false">IF(Transaksi!C350="","",Transaksi!G350)</f>
        <v/>
      </c>
      <c r="F351" s="36" t="str">
        <f aca="false">IF(Transaksi!C350="","",Transaksi!J350)</f>
        <v/>
      </c>
      <c r="G351" s="36" t="str">
        <f aca="false">IF(Transaksi!C350="","",Transaksi!K350)</f>
        <v/>
      </c>
      <c r="H351" s="36" t="str">
        <f aca="false">IF($B351="","",Pengaturan!$C$10+SUMIFS(Transaksi!$J$6:$J350,Transaksi!$G$6:$G350,Pengaturan!$F$19)-SUMIFS(Transaksi!$K$6:$K350,Transaksi!$G$6:$G350,Pengaturan!$F$19))</f>
        <v/>
      </c>
      <c r="I351" s="36" t="str">
        <f aca="false">IF($B351="","",Pengaturan!$C$11+SUMIFS(Transaksi!$J$6:$J350,Transaksi!$G$6:$G350,Pengaturan!$F$20)-SUMIFS(Transaksi!$K$6:$K350,Transaksi!$G$6:$G350,Pengaturan!$F$20))</f>
        <v/>
      </c>
      <c r="J351" s="41" t="str">
        <f aca="false">IF($B351="","",H351+I351)</f>
        <v/>
      </c>
    </row>
    <row r="352" customFormat="false" ht="15" hidden="false" customHeight="false" outlineLevel="0" collapsed="false">
      <c r="B352" s="38" t="str">
        <f aca="false">IF(Transaksi!C351="","",Transaksi!C351)</f>
        <v/>
      </c>
      <c r="C352" s="39" t="str">
        <f aca="false">IF(Transaksi!C351="","",Transaksi!D351)</f>
        <v/>
      </c>
      <c r="D352" s="40" t="str">
        <f aca="false">IF(Transaksi!C351="","",Transaksi!H351)</f>
        <v/>
      </c>
      <c r="E352" s="39" t="str">
        <f aca="false">IF(Transaksi!C351="","",Transaksi!G351)</f>
        <v/>
      </c>
      <c r="F352" s="36" t="str">
        <f aca="false">IF(Transaksi!C351="","",Transaksi!J351)</f>
        <v/>
      </c>
      <c r="G352" s="36" t="str">
        <f aca="false">IF(Transaksi!C351="","",Transaksi!K351)</f>
        <v/>
      </c>
      <c r="H352" s="36" t="str">
        <f aca="false">IF($B352="","",Pengaturan!$C$10+SUMIFS(Transaksi!$J$6:$J351,Transaksi!$G$6:$G351,Pengaturan!$F$19)-SUMIFS(Transaksi!$K$6:$K351,Transaksi!$G$6:$G351,Pengaturan!$F$19))</f>
        <v/>
      </c>
      <c r="I352" s="36" t="str">
        <f aca="false">IF($B352="","",Pengaturan!$C$11+SUMIFS(Transaksi!$J$6:$J351,Transaksi!$G$6:$G351,Pengaturan!$F$20)-SUMIFS(Transaksi!$K$6:$K351,Transaksi!$G$6:$G351,Pengaturan!$F$20))</f>
        <v/>
      </c>
      <c r="J352" s="41" t="str">
        <f aca="false">IF($B352="","",H352+I352)</f>
        <v/>
      </c>
    </row>
    <row r="353" customFormat="false" ht="15" hidden="false" customHeight="false" outlineLevel="0" collapsed="false">
      <c r="B353" s="38" t="str">
        <f aca="false">IF(Transaksi!C352="","",Transaksi!C352)</f>
        <v/>
      </c>
      <c r="C353" s="39" t="str">
        <f aca="false">IF(Transaksi!C352="","",Transaksi!D352)</f>
        <v/>
      </c>
      <c r="D353" s="40" t="str">
        <f aca="false">IF(Transaksi!C352="","",Transaksi!H352)</f>
        <v/>
      </c>
      <c r="E353" s="39" t="str">
        <f aca="false">IF(Transaksi!C352="","",Transaksi!G352)</f>
        <v/>
      </c>
      <c r="F353" s="36" t="str">
        <f aca="false">IF(Transaksi!C352="","",Transaksi!J352)</f>
        <v/>
      </c>
      <c r="G353" s="36" t="str">
        <f aca="false">IF(Transaksi!C352="","",Transaksi!K352)</f>
        <v/>
      </c>
      <c r="H353" s="36" t="str">
        <f aca="false">IF($B353="","",Pengaturan!$C$10+SUMIFS(Transaksi!$J$6:$J352,Transaksi!$G$6:$G352,Pengaturan!$F$19)-SUMIFS(Transaksi!$K$6:$K352,Transaksi!$G$6:$G352,Pengaturan!$F$19))</f>
        <v/>
      </c>
      <c r="I353" s="36" t="str">
        <f aca="false">IF($B353="","",Pengaturan!$C$11+SUMIFS(Transaksi!$J$6:$J352,Transaksi!$G$6:$G352,Pengaturan!$F$20)-SUMIFS(Transaksi!$K$6:$K352,Transaksi!$G$6:$G352,Pengaturan!$F$20))</f>
        <v/>
      </c>
      <c r="J353" s="41" t="str">
        <f aca="false">IF($B353="","",H353+I353)</f>
        <v/>
      </c>
    </row>
    <row r="354" customFormat="false" ht="15" hidden="false" customHeight="false" outlineLevel="0" collapsed="false">
      <c r="B354" s="38" t="str">
        <f aca="false">IF(Transaksi!C353="","",Transaksi!C353)</f>
        <v/>
      </c>
      <c r="C354" s="39" t="str">
        <f aca="false">IF(Transaksi!C353="","",Transaksi!D353)</f>
        <v/>
      </c>
      <c r="D354" s="40" t="str">
        <f aca="false">IF(Transaksi!C353="","",Transaksi!H353)</f>
        <v/>
      </c>
      <c r="E354" s="39" t="str">
        <f aca="false">IF(Transaksi!C353="","",Transaksi!G353)</f>
        <v/>
      </c>
      <c r="F354" s="36" t="str">
        <f aca="false">IF(Transaksi!C353="","",Transaksi!J353)</f>
        <v/>
      </c>
      <c r="G354" s="36" t="str">
        <f aca="false">IF(Transaksi!C353="","",Transaksi!K353)</f>
        <v/>
      </c>
      <c r="H354" s="36" t="str">
        <f aca="false">IF($B354="","",Pengaturan!$C$10+SUMIFS(Transaksi!$J$6:$J353,Transaksi!$G$6:$G353,Pengaturan!$F$19)-SUMIFS(Transaksi!$K$6:$K353,Transaksi!$G$6:$G353,Pengaturan!$F$19))</f>
        <v/>
      </c>
      <c r="I354" s="36" t="str">
        <f aca="false">IF($B354="","",Pengaturan!$C$11+SUMIFS(Transaksi!$J$6:$J353,Transaksi!$G$6:$G353,Pengaturan!$F$20)-SUMIFS(Transaksi!$K$6:$K353,Transaksi!$G$6:$G353,Pengaturan!$F$20))</f>
        <v/>
      </c>
      <c r="J354" s="41" t="str">
        <f aca="false">IF($B354="","",H354+I354)</f>
        <v/>
      </c>
    </row>
    <row r="355" customFormat="false" ht="15" hidden="false" customHeight="false" outlineLevel="0" collapsed="false">
      <c r="B355" s="38" t="str">
        <f aca="false">IF(Transaksi!C354="","",Transaksi!C354)</f>
        <v/>
      </c>
      <c r="C355" s="39" t="str">
        <f aca="false">IF(Transaksi!C354="","",Transaksi!D354)</f>
        <v/>
      </c>
      <c r="D355" s="40" t="str">
        <f aca="false">IF(Transaksi!C354="","",Transaksi!H354)</f>
        <v/>
      </c>
      <c r="E355" s="39" t="str">
        <f aca="false">IF(Transaksi!C354="","",Transaksi!G354)</f>
        <v/>
      </c>
      <c r="F355" s="36" t="str">
        <f aca="false">IF(Transaksi!C354="","",Transaksi!J354)</f>
        <v/>
      </c>
      <c r="G355" s="36" t="str">
        <f aca="false">IF(Transaksi!C354="","",Transaksi!K354)</f>
        <v/>
      </c>
      <c r="H355" s="36" t="str">
        <f aca="false">IF($B355="","",Pengaturan!$C$10+SUMIFS(Transaksi!$J$6:$J354,Transaksi!$G$6:$G354,Pengaturan!$F$19)-SUMIFS(Transaksi!$K$6:$K354,Transaksi!$G$6:$G354,Pengaturan!$F$19))</f>
        <v/>
      </c>
      <c r="I355" s="36" t="str">
        <f aca="false">IF($B355="","",Pengaturan!$C$11+SUMIFS(Transaksi!$J$6:$J354,Transaksi!$G$6:$G354,Pengaturan!$F$20)-SUMIFS(Transaksi!$K$6:$K354,Transaksi!$G$6:$G354,Pengaturan!$F$20))</f>
        <v/>
      </c>
      <c r="J355" s="41" t="str">
        <f aca="false">IF($B355="","",H355+I355)</f>
        <v/>
      </c>
    </row>
    <row r="356" customFormat="false" ht="15" hidden="false" customHeight="false" outlineLevel="0" collapsed="false">
      <c r="B356" s="38" t="str">
        <f aca="false">IF(Transaksi!C355="","",Transaksi!C355)</f>
        <v/>
      </c>
      <c r="C356" s="39" t="str">
        <f aca="false">IF(Transaksi!C355="","",Transaksi!D355)</f>
        <v/>
      </c>
      <c r="D356" s="40" t="str">
        <f aca="false">IF(Transaksi!C355="","",Transaksi!H355)</f>
        <v/>
      </c>
      <c r="E356" s="39" t="str">
        <f aca="false">IF(Transaksi!C355="","",Transaksi!G355)</f>
        <v/>
      </c>
      <c r="F356" s="36" t="str">
        <f aca="false">IF(Transaksi!C355="","",Transaksi!J355)</f>
        <v/>
      </c>
      <c r="G356" s="36" t="str">
        <f aca="false">IF(Transaksi!C355="","",Transaksi!K355)</f>
        <v/>
      </c>
      <c r="H356" s="36" t="str">
        <f aca="false">IF($B356="","",Pengaturan!$C$10+SUMIFS(Transaksi!$J$6:$J355,Transaksi!$G$6:$G355,Pengaturan!$F$19)-SUMIFS(Transaksi!$K$6:$K355,Transaksi!$G$6:$G355,Pengaturan!$F$19))</f>
        <v/>
      </c>
      <c r="I356" s="36" t="str">
        <f aca="false">IF($B356="","",Pengaturan!$C$11+SUMIFS(Transaksi!$J$6:$J355,Transaksi!$G$6:$G355,Pengaturan!$F$20)-SUMIFS(Transaksi!$K$6:$K355,Transaksi!$G$6:$G355,Pengaturan!$F$20))</f>
        <v/>
      </c>
      <c r="J356" s="41" t="str">
        <f aca="false">IF($B356="","",H356+I356)</f>
        <v/>
      </c>
    </row>
    <row r="357" customFormat="false" ht="15" hidden="false" customHeight="false" outlineLevel="0" collapsed="false">
      <c r="B357" s="38" t="str">
        <f aca="false">IF(Transaksi!C356="","",Transaksi!C356)</f>
        <v/>
      </c>
      <c r="C357" s="39" t="str">
        <f aca="false">IF(Transaksi!C356="","",Transaksi!D356)</f>
        <v/>
      </c>
      <c r="D357" s="40" t="str">
        <f aca="false">IF(Transaksi!C356="","",Transaksi!H356)</f>
        <v/>
      </c>
      <c r="E357" s="39" t="str">
        <f aca="false">IF(Transaksi!C356="","",Transaksi!G356)</f>
        <v/>
      </c>
      <c r="F357" s="36" t="str">
        <f aca="false">IF(Transaksi!C356="","",Transaksi!J356)</f>
        <v/>
      </c>
      <c r="G357" s="36" t="str">
        <f aca="false">IF(Transaksi!C356="","",Transaksi!K356)</f>
        <v/>
      </c>
      <c r="H357" s="36" t="str">
        <f aca="false">IF($B357="","",Pengaturan!$C$10+SUMIFS(Transaksi!$J$6:$J356,Transaksi!$G$6:$G356,Pengaturan!$F$19)-SUMIFS(Transaksi!$K$6:$K356,Transaksi!$G$6:$G356,Pengaturan!$F$19))</f>
        <v/>
      </c>
      <c r="I357" s="36" t="str">
        <f aca="false">IF($B357="","",Pengaturan!$C$11+SUMIFS(Transaksi!$J$6:$J356,Transaksi!$G$6:$G356,Pengaturan!$F$20)-SUMIFS(Transaksi!$K$6:$K356,Transaksi!$G$6:$G356,Pengaturan!$F$20))</f>
        <v/>
      </c>
      <c r="J357" s="41" t="str">
        <f aca="false">IF($B357="","",H357+I357)</f>
        <v/>
      </c>
    </row>
    <row r="358" customFormat="false" ht="15" hidden="false" customHeight="false" outlineLevel="0" collapsed="false">
      <c r="B358" s="38" t="str">
        <f aca="false">IF(Transaksi!C357="","",Transaksi!C357)</f>
        <v/>
      </c>
      <c r="C358" s="39" t="str">
        <f aca="false">IF(Transaksi!C357="","",Transaksi!D357)</f>
        <v/>
      </c>
      <c r="D358" s="40" t="str">
        <f aca="false">IF(Transaksi!C357="","",Transaksi!H357)</f>
        <v/>
      </c>
      <c r="E358" s="39" t="str">
        <f aca="false">IF(Transaksi!C357="","",Transaksi!G357)</f>
        <v/>
      </c>
      <c r="F358" s="36" t="str">
        <f aca="false">IF(Transaksi!C357="","",Transaksi!J357)</f>
        <v/>
      </c>
      <c r="G358" s="36" t="str">
        <f aca="false">IF(Transaksi!C357="","",Transaksi!K357)</f>
        <v/>
      </c>
      <c r="H358" s="36" t="str">
        <f aca="false">IF($B358="","",Pengaturan!$C$10+SUMIFS(Transaksi!$J$6:$J357,Transaksi!$G$6:$G357,Pengaturan!$F$19)-SUMIFS(Transaksi!$K$6:$K357,Transaksi!$G$6:$G357,Pengaturan!$F$19))</f>
        <v/>
      </c>
      <c r="I358" s="36" t="str">
        <f aca="false">IF($B358="","",Pengaturan!$C$11+SUMIFS(Transaksi!$J$6:$J357,Transaksi!$G$6:$G357,Pengaturan!$F$20)-SUMIFS(Transaksi!$K$6:$K357,Transaksi!$G$6:$G357,Pengaturan!$F$20))</f>
        <v/>
      </c>
      <c r="J358" s="41" t="str">
        <f aca="false">IF($B358="","",H358+I358)</f>
        <v/>
      </c>
    </row>
    <row r="359" customFormat="false" ht="15" hidden="false" customHeight="false" outlineLevel="0" collapsed="false">
      <c r="B359" s="38" t="str">
        <f aca="false">IF(Transaksi!C358="","",Transaksi!C358)</f>
        <v/>
      </c>
      <c r="C359" s="39" t="str">
        <f aca="false">IF(Transaksi!C358="","",Transaksi!D358)</f>
        <v/>
      </c>
      <c r="D359" s="40" t="str">
        <f aca="false">IF(Transaksi!C358="","",Transaksi!H358)</f>
        <v/>
      </c>
      <c r="E359" s="39" t="str">
        <f aca="false">IF(Transaksi!C358="","",Transaksi!G358)</f>
        <v/>
      </c>
      <c r="F359" s="36" t="str">
        <f aca="false">IF(Transaksi!C358="","",Transaksi!J358)</f>
        <v/>
      </c>
      <c r="G359" s="36" t="str">
        <f aca="false">IF(Transaksi!C358="","",Transaksi!K358)</f>
        <v/>
      </c>
      <c r="H359" s="36" t="str">
        <f aca="false">IF($B359="","",Pengaturan!$C$10+SUMIFS(Transaksi!$J$6:$J358,Transaksi!$G$6:$G358,Pengaturan!$F$19)-SUMIFS(Transaksi!$K$6:$K358,Transaksi!$G$6:$G358,Pengaturan!$F$19))</f>
        <v/>
      </c>
      <c r="I359" s="36" t="str">
        <f aca="false">IF($B359="","",Pengaturan!$C$11+SUMIFS(Transaksi!$J$6:$J358,Transaksi!$G$6:$G358,Pengaturan!$F$20)-SUMIFS(Transaksi!$K$6:$K358,Transaksi!$G$6:$G358,Pengaturan!$F$20))</f>
        <v/>
      </c>
      <c r="J359" s="41" t="str">
        <f aca="false">IF($B359="","",H359+I359)</f>
        <v/>
      </c>
    </row>
    <row r="360" customFormat="false" ht="15" hidden="false" customHeight="false" outlineLevel="0" collapsed="false">
      <c r="B360" s="38" t="str">
        <f aca="false">IF(Transaksi!C359="","",Transaksi!C359)</f>
        <v/>
      </c>
      <c r="C360" s="39" t="str">
        <f aca="false">IF(Transaksi!C359="","",Transaksi!D359)</f>
        <v/>
      </c>
      <c r="D360" s="40" t="str">
        <f aca="false">IF(Transaksi!C359="","",Transaksi!H359)</f>
        <v/>
      </c>
      <c r="E360" s="39" t="str">
        <f aca="false">IF(Transaksi!C359="","",Transaksi!G359)</f>
        <v/>
      </c>
      <c r="F360" s="36" t="str">
        <f aca="false">IF(Transaksi!C359="","",Transaksi!J359)</f>
        <v/>
      </c>
      <c r="G360" s="36" t="str">
        <f aca="false">IF(Transaksi!C359="","",Transaksi!K359)</f>
        <v/>
      </c>
      <c r="H360" s="36" t="str">
        <f aca="false">IF($B360="","",Pengaturan!$C$10+SUMIFS(Transaksi!$J$6:$J359,Transaksi!$G$6:$G359,Pengaturan!$F$19)-SUMIFS(Transaksi!$K$6:$K359,Transaksi!$G$6:$G359,Pengaturan!$F$19))</f>
        <v/>
      </c>
      <c r="I360" s="36" t="str">
        <f aca="false">IF($B360="","",Pengaturan!$C$11+SUMIFS(Transaksi!$J$6:$J359,Transaksi!$G$6:$G359,Pengaturan!$F$20)-SUMIFS(Transaksi!$K$6:$K359,Transaksi!$G$6:$G359,Pengaturan!$F$20))</f>
        <v/>
      </c>
      <c r="J360" s="41" t="str">
        <f aca="false">IF($B360="","",H360+I360)</f>
        <v/>
      </c>
    </row>
    <row r="361" customFormat="false" ht="15" hidden="false" customHeight="false" outlineLevel="0" collapsed="false">
      <c r="B361" s="38" t="str">
        <f aca="false">IF(Transaksi!C360="","",Transaksi!C360)</f>
        <v/>
      </c>
      <c r="C361" s="39" t="str">
        <f aca="false">IF(Transaksi!C360="","",Transaksi!D360)</f>
        <v/>
      </c>
      <c r="D361" s="40" t="str">
        <f aca="false">IF(Transaksi!C360="","",Transaksi!H360)</f>
        <v/>
      </c>
      <c r="E361" s="39" t="str">
        <f aca="false">IF(Transaksi!C360="","",Transaksi!G360)</f>
        <v/>
      </c>
      <c r="F361" s="36" t="str">
        <f aca="false">IF(Transaksi!C360="","",Transaksi!J360)</f>
        <v/>
      </c>
      <c r="G361" s="36" t="str">
        <f aca="false">IF(Transaksi!C360="","",Transaksi!K360)</f>
        <v/>
      </c>
      <c r="H361" s="36" t="str">
        <f aca="false">IF($B361="","",Pengaturan!$C$10+SUMIFS(Transaksi!$J$6:$J360,Transaksi!$G$6:$G360,Pengaturan!$F$19)-SUMIFS(Transaksi!$K$6:$K360,Transaksi!$G$6:$G360,Pengaturan!$F$19))</f>
        <v/>
      </c>
      <c r="I361" s="36" t="str">
        <f aca="false">IF($B361="","",Pengaturan!$C$11+SUMIFS(Transaksi!$J$6:$J360,Transaksi!$G$6:$G360,Pengaturan!$F$20)-SUMIFS(Transaksi!$K$6:$K360,Transaksi!$G$6:$G360,Pengaturan!$F$20))</f>
        <v/>
      </c>
      <c r="J361" s="41" t="str">
        <f aca="false">IF($B361="","",H361+I361)</f>
        <v/>
      </c>
    </row>
    <row r="362" customFormat="false" ht="15" hidden="false" customHeight="false" outlineLevel="0" collapsed="false">
      <c r="B362" s="38" t="str">
        <f aca="false">IF(Transaksi!C361="","",Transaksi!C361)</f>
        <v/>
      </c>
      <c r="C362" s="39" t="str">
        <f aca="false">IF(Transaksi!C361="","",Transaksi!D361)</f>
        <v/>
      </c>
      <c r="D362" s="40" t="str">
        <f aca="false">IF(Transaksi!C361="","",Transaksi!H361)</f>
        <v/>
      </c>
      <c r="E362" s="39" t="str">
        <f aca="false">IF(Transaksi!C361="","",Transaksi!G361)</f>
        <v/>
      </c>
      <c r="F362" s="36" t="str">
        <f aca="false">IF(Transaksi!C361="","",Transaksi!J361)</f>
        <v/>
      </c>
      <c r="G362" s="36" t="str">
        <f aca="false">IF(Transaksi!C361="","",Transaksi!K361)</f>
        <v/>
      </c>
      <c r="H362" s="36" t="str">
        <f aca="false">IF($B362="","",Pengaturan!$C$10+SUMIFS(Transaksi!$J$6:$J361,Transaksi!$G$6:$G361,Pengaturan!$F$19)-SUMIFS(Transaksi!$K$6:$K361,Transaksi!$G$6:$G361,Pengaturan!$F$19))</f>
        <v/>
      </c>
      <c r="I362" s="36" t="str">
        <f aca="false">IF($B362="","",Pengaturan!$C$11+SUMIFS(Transaksi!$J$6:$J361,Transaksi!$G$6:$G361,Pengaturan!$F$20)-SUMIFS(Transaksi!$K$6:$K361,Transaksi!$G$6:$G361,Pengaturan!$F$20))</f>
        <v/>
      </c>
      <c r="J362" s="41" t="str">
        <f aca="false">IF($B362="","",H362+I362)</f>
        <v/>
      </c>
    </row>
    <row r="363" customFormat="false" ht="15" hidden="false" customHeight="false" outlineLevel="0" collapsed="false">
      <c r="B363" s="38" t="str">
        <f aca="false">IF(Transaksi!C362="","",Transaksi!C362)</f>
        <v/>
      </c>
      <c r="C363" s="39" t="str">
        <f aca="false">IF(Transaksi!C362="","",Transaksi!D362)</f>
        <v/>
      </c>
      <c r="D363" s="40" t="str">
        <f aca="false">IF(Transaksi!C362="","",Transaksi!H362)</f>
        <v/>
      </c>
      <c r="E363" s="39" t="str">
        <f aca="false">IF(Transaksi!C362="","",Transaksi!G362)</f>
        <v/>
      </c>
      <c r="F363" s="36" t="str">
        <f aca="false">IF(Transaksi!C362="","",Transaksi!J362)</f>
        <v/>
      </c>
      <c r="G363" s="36" t="str">
        <f aca="false">IF(Transaksi!C362="","",Transaksi!K362)</f>
        <v/>
      </c>
      <c r="H363" s="36" t="str">
        <f aca="false">IF($B363="","",Pengaturan!$C$10+SUMIFS(Transaksi!$J$6:$J362,Transaksi!$G$6:$G362,Pengaturan!$F$19)-SUMIFS(Transaksi!$K$6:$K362,Transaksi!$G$6:$G362,Pengaturan!$F$19))</f>
        <v/>
      </c>
      <c r="I363" s="36" t="str">
        <f aca="false">IF($B363="","",Pengaturan!$C$11+SUMIFS(Transaksi!$J$6:$J362,Transaksi!$G$6:$G362,Pengaturan!$F$20)-SUMIFS(Transaksi!$K$6:$K362,Transaksi!$G$6:$G362,Pengaturan!$F$20))</f>
        <v/>
      </c>
      <c r="J363" s="41" t="str">
        <f aca="false">IF($B363="","",H363+I363)</f>
        <v/>
      </c>
    </row>
    <row r="364" customFormat="false" ht="15" hidden="false" customHeight="false" outlineLevel="0" collapsed="false">
      <c r="B364" s="38" t="str">
        <f aca="false">IF(Transaksi!C363="","",Transaksi!C363)</f>
        <v/>
      </c>
      <c r="C364" s="39" t="str">
        <f aca="false">IF(Transaksi!C363="","",Transaksi!D363)</f>
        <v/>
      </c>
      <c r="D364" s="40" t="str">
        <f aca="false">IF(Transaksi!C363="","",Transaksi!H363)</f>
        <v/>
      </c>
      <c r="E364" s="39" t="str">
        <f aca="false">IF(Transaksi!C363="","",Transaksi!G363)</f>
        <v/>
      </c>
      <c r="F364" s="36" t="str">
        <f aca="false">IF(Transaksi!C363="","",Transaksi!J363)</f>
        <v/>
      </c>
      <c r="G364" s="36" t="str">
        <f aca="false">IF(Transaksi!C363="","",Transaksi!K363)</f>
        <v/>
      </c>
      <c r="H364" s="36" t="str">
        <f aca="false">IF($B364="","",Pengaturan!$C$10+SUMIFS(Transaksi!$J$6:$J363,Transaksi!$G$6:$G363,Pengaturan!$F$19)-SUMIFS(Transaksi!$K$6:$K363,Transaksi!$G$6:$G363,Pengaturan!$F$19))</f>
        <v/>
      </c>
      <c r="I364" s="36" t="str">
        <f aca="false">IF($B364="","",Pengaturan!$C$11+SUMIFS(Transaksi!$J$6:$J363,Transaksi!$G$6:$G363,Pengaturan!$F$20)-SUMIFS(Transaksi!$K$6:$K363,Transaksi!$G$6:$G363,Pengaturan!$F$20))</f>
        <v/>
      </c>
      <c r="J364" s="41" t="str">
        <f aca="false">IF($B364="","",H364+I364)</f>
        <v/>
      </c>
    </row>
    <row r="365" customFormat="false" ht="15" hidden="false" customHeight="false" outlineLevel="0" collapsed="false">
      <c r="B365" s="38" t="str">
        <f aca="false">IF(Transaksi!C364="","",Transaksi!C364)</f>
        <v/>
      </c>
      <c r="C365" s="39" t="str">
        <f aca="false">IF(Transaksi!C364="","",Transaksi!D364)</f>
        <v/>
      </c>
      <c r="D365" s="40" t="str">
        <f aca="false">IF(Transaksi!C364="","",Transaksi!H364)</f>
        <v/>
      </c>
      <c r="E365" s="39" t="str">
        <f aca="false">IF(Transaksi!C364="","",Transaksi!G364)</f>
        <v/>
      </c>
      <c r="F365" s="36" t="str">
        <f aca="false">IF(Transaksi!C364="","",Transaksi!J364)</f>
        <v/>
      </c>
      <c r="G365" s="36" t="str">
        <f aca="false">IF(Transaksi!C364="","",Transaksi!K364)</f>
        <v/>
      </c>
      <c r="H365" s="36" t="str">
        <f aca="false">IF($B365="","",Pengaturan!$C$10+SUMIFS(Transaksi!$J$6:$J364,Transaksi!$G$6:$G364,Pengaturan!$F$19)-SUMIFS(Transaksi!$K$6:$K364,Transaksi!$G$6:$G364,Pengaturan!$F$19))</f>
        <v/>
      </c>
      <c r="I365" s="36" t="str">
        <f aca="false">IF($B365="","",Pengaturan!$C$11+SUMIFS(Transaksi!$J$6:$J364,Transaksi!$G$6:$G364,Pengaturan!$F$20)-SUMIFS(Transaksi!$K$6:$K364,Transaksi!$G$6:$G364,Pengaturan!$F$20))</f>
        <v/>
      </c>
      <c r="J365" s="41" t="str">
        <f aca="false">IF($B365="","",H365+I365)</f>
        <v/>
      </c>
    </row>
    <row r="366" customFormat="false" ht="15" hidden="false" customHeight="false" outlineLevel="0" collapsed="false">
      <c r="B366" s="38" t="str">
        <f aca="false">IF(Transaksi!C365="","",Transaksi!C365)</f>
        <v/>
      </c>
      <c r="C366" s="39" t="str">
        <f aca="false">IF(Transaksi!C365="","",Transaksi!D365)</f>
        <v/>
      </c>
      <c r="D366" s="40" t="str">
        <f aca="false">IF(Transaksi!C365="","",Transaksi!H365)</f>
        <v/>
      </c>
      <c r="E366" s="39" t="str">
        <f aca="false">IF(Transaksi!C365="","",Transaksi!G365)</f>
        <v/>
      </c>
      <c r="F366" s="36" t="str">
        <f aca="false">IF(Transaksi!C365="","",Transaksi!J365)</f>
        <v/>
      </c>
      <c r="G366" s="36" t="str">
        <f aca="false">IF(Transaksi!C365="","",Transaksi!K365)</f>
        <v/>
      </c>
      <c r="H366" s="36" t="str">
        <f aca="false">IF($B366="","",Pengaturan!$C$10+SUMIFS(Transaksi!$J$6:$J365,Transaksi!$G$6:$G365,Pengaturan!$F$19)-SUMIFS(Transaksi!$K$6:$K365,Transaksi!$G$6:$G365,Pengaturan!$F$19))</f>
        <v/>
      </c>
      <c r="I366" s="36" t="str">
        <f aca="false">IF($B366="","",Pengaturan!$C$11+SUMIFS(Transaksi!$J$6:$J365,Transaksi!$G$6:$G365,Pengaturan!$F$20)-SUMIFS(Transaksi!$K$6:$K365,Transaksi!$G$6:$G365,Pengaturan!$F$20))</f>
        <v/>
      </c>
      <c r="J366" s="41" t="str">
        <f aca="false">IF($B366="","",H366+I366)</f>
        <v/>
      </c>
    </row>
    <row r="367" customFormat="false" ht="15" hidden="false" customHeight="false" outlineLevel="0" collapsed="false">
      <c r="B367" s="38" t="str">
        <f aca="false">IF(Transaksi!C366="","",Transaksi!C366)</f>
        <v/>
      </c>
      <c r="C367" s="39" t="str">
        <f aca="false">IF(Transaksi!C366="","",Transaksi!D366)</f>
        <v/>
      </c>
      <c r="D367" s="40" t="str">
        <f aca="false">IF(Transaksi!C366="","",Transaksi!H366)</f>
        <v/>
      </c>
      <c r="E367" s="39" t="str">
        <f aca="false">IF(Transaksi!C366="","",Transaksi!G366)</f>
        <v/>
      </c>
      <c r="F367" s="36" t="str">
        <f aca="false">IF(Transaksi!C366="","",Transaksi!J366)</f>
        <v/>
      </c>
      <c r="G367" s="36" t="str">
        <f aca="false">IF(Transaksi!C366="","",Transaksi!K366)</f>
        <v/>
      </c>
      <c r="H367" s="36" t="str">
        <f aca="false">IF($B367="","",Pengaturan!$C$10+SUMIFS(Transaksi!$J$6:$J366,Transaksi!$G$6:$G366,Pengaturan!$F$19)-SUMIFS(Transaksi!$K$6:$K366,Transaksi!$G$6:$G366,Pengaturan!$F$19))</f>
        <v/>
      </c>
      <c r="I367" s="36" t="str">
        <f aca="false">IF($B367="","",Pengaturan!$C$11+SUMIFS(Transaksi!$J$6:$J366,Transaksi!$G$6:$G366,Pengaturan!$F$20)-SUMIFS(Transaksi!$K$6:$K366,Transaksi!$G$6:$G366,Pengaturan!$F$20))</f>
        <v/>
      </c>
      <c r="J367" s="41" t="str">
        <f aca="false">IF($B367="","",H367+I367)</f>
        <v/>
      </c>
    </row>
    <row r="368" customFormat="false" ht="15" hidden="false" customHeight="false" outlineLevel="0" collapsed="false">
      <c r="B368" s="38" t="str">
        <f aca="false">IF(Transaksi!C367="","",Transaksi!C367)</f>
        <v/>
      </c>
      <c r="C368" s="39" t="str">
        <f aca="false">IF(Transaksi!C367="","",Transaksi!D367)</f>
        <v/>
      </c>
      <c r="D368" s="40" t="str">
        <f aca="false">IF(Transaksi!C367="","",Transaksi!H367)</f>
        <v/>
      </c>
      <c r="E368" s="39" t="str">
        <f aca="false">IF(Transaksi!C367="","",Transaksi!G367)</f>
        <v/>
      </c>
      <c r="F368" s="36" t="str">
        <f aca="false">IF(Transaksi!C367="","",Transaksi!J367)</f>
        <v/>
      </c>
      <c r="G368" s="36" t="str">
        <f aca="false">IF(Transaksi!C367="","",Transaksi!K367)</f>
        <v/>
      </c>
      <c r="H368" s="36" t="str">
        <f aca="false">IF($B368="","",Pengaturan!$C$10+SUMIFS(Transaksi!$J$6:$J367,Transaksi!$G$6:$G367,Pengaturan!$F$19)-SUMIFS(Transaksi!$K$6:$K367,Transaksi!$G$6:$G367,Pengaturan!$F$19))</f>
        <v/>
      </c>
      <c r="I368" s="36" t="str">
        <f aca="false">IF($B368="","",Pengaturan!$C$11+SUMIFS(Transaksi!$J$6:$J367,Transaksi!$G$6:$G367,Pengaturan!$F$20)-SUMIFS(Transaksi!$K$6:$K367,Transaksi!$G$6:$G367,Pengaturan!$F$20))</f>
        <v/>
      </c>
      <c r="J368" s="41" t="str">
        <f aca="false">IF($B368="","",H368+I368)</f>
        <v/>
      </c>
    </row>
    <row r="369" customFormat="false" ht="15" hidden="false" customHeight="false" outlineLevel="0" collapsed="false">
      <c r="B369" s="38" t="str">
        <f aca="false">IF(Transaksi!C368="","",Transaksi!C368)</f>
        <v/>
      </c>
      <c r="C369" s="39" t="str">
        <f aca="false">IF(Transaksi!C368="","",Transaksi!D368)</f>
        <v/>
      </c>
      <c r="D369" s="40" t="str">
        <f aca="false">IF(Transaksi!C368="","",Transaksi!H368)</f>
        <v/>
      </c>
      <c r="E369" s="39" t="str">
        <f aca="false">IF(Transaksi!C368="","",Transaksi!G368)</f>
        <v/>
      </c>
      <c r="F369" s="36" t="str">
        <f aca="false">IF(Transaksi!C368="","",Transaksi!J368)</f>
        <v/>
      </c>
      <c r="G369" s="36" t="str">
        <f aca="false">IF(Transaksi!C368="","",Transaksi!K368)</f>
        <v/>
      </c>
      <c r="H369" s="36" t="str">
        <f aca="false">IF($B369="","",Pengaturan!$C$10+SUMIFS(Transaksi!$J$6:$J368,Transaksi!$G$6:$G368,Pengaturan!$F$19)-SUMIFS(Transaksi!$K$6:$K368,Transaksi!$G$6:$G368,Pengaturan!$F$19))</f>
        <v/>
      </c>
      <c r="I369" s="36" t="str">
        <f aca="false">IF($B369="","",Pengaturan!$C$11+SUMIFS(Transaksi!$J$6:$J368,Transaksi!$G$6:$G368,Pengaturan!$F$20)-SUMIFS(Transaksi!$K$6:$K368,Transaksi!$G$6:$G368,Pengaturan!$F$20))</f>
        <v/>
      </c>
      <c r="J369" s="41" t="str">
        <f aca="false">IF($B369="","",H369+I369)</f>
        <v/>
      </c>
    </row>
    <row r="370" customFormat="false" ht="15" hidden="false" customHeight="false" outlineLevel="0" collapsed="false">
      <c r="B370" s="38" t="str">
        <f aca="false">IF(Transaksi!C369="","",Transaksi!C369)</f>
        <v/>
      </c>
      <c r="C370" s="39" t="str">
        <f aca="false">IF(Transaksi!C369="","",Transaksi!D369)</f>
        <v/>
      </c>
      <c r="D370" s="40" t="str">
        <f aca="false">IF(Transaksi!C369="","",Transaksi!H369)</f>
        <v/>
      </c>
      <c r="E370" s="39" t="str">
        <f aca="false">IF(Transaksi!C369="","",Transaksi!G369)</f>
        <v/>
      </c>
      <c r="F370" s="36" t="str">
        <f aca="false">IF(Transaksi!C369="","",Transaksi!J369)</f>
        <v/>
      </c>
      <c r="G370" s="36" t="str">
        <f aca="false">IF(Transaksi!C369="","",Transaksi!K369)</f>
        <v/>
      </c>
      <c r="H370" s="36" t="str">
        <f aca="false">IF($B370="","",Pengaturan!$C$10+SUMIFS(Transaksi!$J$6:$J369,Transaksi!$G$6:$G369,Pengaturan!$F$19)-SUMIFS(Transaksi!$K$6:$K369,Transaksi!$G$6:$G369,Pengaturan!$F$19))</f>
        <v/>
      </c>
      <c r="I370" s="36" t="str">
        <f aca="false">IF($B370="","",Pengaturan!$C$11+SUMIFS(Transaksi!$J$6:$J369,Transaksi!$G$6:$G369,Pengaturan!$F$20)-SUMIFS(Transaksi!$K$6:$K369,Transaksi!$G$6:$G369,Pengaturan!$F$20))</f>
        <v/>
      </c>
      <c r="J370" s="41" t="str">
        <f aca="false">IF($B370="","",H370+I370)</f>
        <v/>
      </c>
    </row>
    <row r="371" customFormat="false" ht="15" hidden="false" customHeight="false" outlineLevel="0" collapsed="false">
      <c r="B371" s="38" t="str">
        <f aca="false">IF(Transaksi!C370="","",Transaksi!C370)</f>
        <v/>
      </c>
      <c r="C371" s="39" t="str">
        <f aca="false">IF(Transaksi!C370="","",Transaksi!D370)</f>
        <v/>
      </c>
      <c r="D371" s="40" t="str">
        <f aca="false">IF(Transaksi!C370="","",Transaksi!H370)</f>
        <v/>
      </c>
      <c r="E371" s="39" t="str">
        <f aca="false">IF(Transaksi!C370="","",Transaksi!G370)</f>
        <v/>
      </c>
      <c r="F371" s="36" t="str">
        <f aca="false">IF(Transaksi!C370="","",Transaksi!J370)</f>
        <v/>
      </c>
      <c r="G371" s="36" t="str">
        <f aca="false">IF(Transaksi!C370="","",Transaksi!K370)</f>
        <v/>
      </c>
      <c r="H371" s="36" t="str">
        <f aca="false">IF($B371="","",Pengaturan!$C$10+SUMIFS(Transaksi!$J$6:$J370,Transaksi!$G$6:$G370,Pengaturan!$F$19)-SUMIFS(Transaksi!$K$6:$K370,Transaksi!$G$6:$G370,Pengaturan!$F$19))</f>
        <v/>
      </c>
      <c r="I371" s="36" t="str">
        <f aca="false">IF($B371="","",Pengaturan!$C$11+SUMIFS(Transaksi!$J$6:$J370,Transaksi!$G$6:$G370,Pengaturan!$F$20)-SUMIFS(Transaksi!$K$6:$K370,Transaksi!$G$6:$G370,Pengaturan!$F$20))</f>
        <v/>
      </c>
      <c r="J371" s="41" t="str">
        <f aca="false">IF($B371="","",H371+I371)</f>
        <v/>
      </c>
    </row>
    <row r="372" customFormat="false" ht="15" hidden="false" customHeight="false" outlineLevel="0" collapsed="false">
      <c r="B372" s="38" t="str">
        <f aca="false">IF(Transaksi!C371="","",Transaksi!C371)</f>
        <v/>
      </c>
      <c r="C372" s="39" t="str">
        <f aca="false">IF(Transaksi!C371="","",Transaksi!D371)</f>
        <v/>
      </c>
      <c r="D372" s="40" t="str">
        <f aca="false">IF(Transaksi!C371="","",Transaksi!H371)</f>
        <v/>
      </c>
      <c r="E372" s="39" t="str">
        <f aca="false">IF(Transaksi!C371="","",Transaksi!G371)</f>
        <v/>
      </c>
      <c r="F372" s="36" t="str">
        <f aca="false">IF(Transaksi!C371="","",Transaksi!J371)</f>
        <v/>
      </c>
      <c r="G372" s="36" t="str">
        <f aca="false">IF(Transaksi!C371="","",Transaksi!K371)</f>
        <v/>
      </c>
      <c r="H372" s="36" t="str">
        <f aca="false">IF($B372="","",Pengaturan!$C$10+SUMIFS(Transaksi!$J$6:$J371,Transaksi!$G$6:$G371,Pengaturan!$F$19)-SUMIFS(Transaksi!$K$6:$K371,Transaksi!$G$6:$G371,Pengaturan!$F$19))</f>
        <v/>
      </c>
      <c r="I372" s="36" t="str">
        <f aca="false">IF($B372="","",Pengaturan!$C$11+SUMIFS(Transaksi!$J$6:$J371,Transaksi!$G$6:$G371,Pengaturan!$F$20)-SUMIFS(Transaksi!$K$6:$K371,Transaksi!$G$6:$G371,Pengaturan!$F$20))</f>
        <v/>
      </c>
      <c r="J372" s="41" t="str">
        <f aca="false">IF($B372="","",H372+I372)</f>
        <v/>
      </c>
    </row>
    <row r="373" customFormat="false" ht="15" hidden="false" customHeight="false" outlineLevel="0" collapsed="false">
      <c r="B373" s="38" t="str">
        <f aca="false">IF(Transaksi!C372="","",Transaksi!C372)</f>
        <v/>
      </c>
      <c r="C373" s="39" t="str">
        <f aca="false">IF(Transaksi!C372="","",Transaksi!D372)</f>
        <v/>
      </c>
      <c r="D373" s="40" t="str">
        <f aca="false">IF(Transaksi!C372="","",Transaksi!H372)</f>
        <v/>
      </c>
      <c r="E373" s="39" t="str">
        <f aca="false">IF(Transaksi!C372="","",Transaksi!G372)</f>
        <v/>
      </c>
      <c r="F373" s="36" t="str">
        <f aca="false">IF(Transaksi!C372="","",Transaksi!J372)</f>
        <v/>
      </c>
      <c r="G373" s="36" t="str">
        <f aca="false">IF(Transaksi!C372="","",Transaksi!K372)</f>
        <v/>
      </c>
      <c r="H373" s="36" t="str">
        <f aca="false">IF($B373="","",Pengaturan!$C$10+SUMIFS(Transaksi!$J$6:$J372,Transaksi!$G$6:$G372,Pengaturan!$F$19)-SUMIFS(Transaksi!$K$6:$K372,Transaksi!$G$6:$G372,Pengaturan!$F$19))</f>
        <v/>
      </c>
      <c r="I373" s="36" t="str">
        <f aca="false">IF($B373="","",Pengaturan!$C$11+SUMIFS(Transaksi!$J$6:$J372,Transaksi!$G$6:$G372,Pengaturan!$F$20)-SUMIFS(Transaksi!$K$6:$K372,Transaksi!$G$6:$G372,Pengaturan!$F$20))</f>
        <v/>
      </c>
      <c r="J373" s="41" t="str">
        <f aca="false">IF($B373="","",H373+I373)</f>
        <v/>
      </c>
    </row>
    <row r="374" customFormat="false" ht="15" hidden="false" customHeight="false" outlineLevel="0" collapsed="false">
      <c r="B374" s="38" t="str">
        <f aca="false">IF(Transaksi!C373="","",Transaksi!C373)</f>
        <v/>
      </c>
      <c r="C374" s="39" t="str">
        <f aca="false">IF(Transaksi!C373="","",Transaksi!D373)</f>
        <v/>
      </c>
      <c r="D374" s="40" t="str">
        <f aca="false">IF(Transaksi!C373="","",Transaksi!H373)</f>
        <v/>
      </c>
      <c r="E374" s="39" t="str">
        <f aca="false">IF(Transaksi!C373="","",Transaksi!G373)</f>
        <v/>
      </c>
      <c r="F374" s="36" t="str">
        <f aca="false">IF(Transaksi!C373="","",Transaksi!J373)</f>
        <v/>
      </c>
      <c r="G374" s="36" t="str">
        <f aca="false">IF(Transaksi!C373="","",Transaksi!K373)</f>
        <v/>
      </c>
      <c r="H374" s="36" t="str">
        <f aca="false">IF($B374="","",Pengaturan!$C$10+SUMIFS(Transaksi!$J$6:$J373,Transaksi!$G$6:$G373,Pengaturan!$F$19)-SUMIFS(Transaksi!$K$6:$K373,Transaksi!$G$6:$G373,Pengaturan!$F$19))</f>
        <v/>
      </c>
      <c r="I374" s="36" t="str">
        <f aca="false">IF($B374="","",Pengaturan!$C$11+SUMIFS(Transaksi!$J$6:$J373,Transaksi!$G$6:$G373,Pengaturan!$F$20)-SUMIFS(Transaksi!$K$6:$K373,Transaksi!$G$6:$G373,Pengaturan!$F$20))</f>
        <v/>
      </c>
      <c r="J374" s="41" t="str">
        <f aca="false">IF($B374="","",H374+I374)</f>
        <v/>
      </c>
    </row>
    <row r="375" customFormat="false" ht="15" hidden="false" customHeight="false" outlineLevel="0" collapsed="false">
      <c r="B375" s="38" t="str">
        <f aca="false">IF(Transaksi!C374="","",Transaksi!C374)</f>
        <v/>
      </c>
      <c r="C375" s="39" t="str">
        <f aca="false">IF(Transaksi!C374="","",Transaksi!D374)</f>
        <v/>
      </c>
      <c r="D375" s="40" t="str">
        <f aca="false">IF(Transaksi!C374="","",Transaksi!H374)</f>
        <v/>
      </c>
      <c r="E375" s="39" t="str">
        <f aca="false">IF(Transaksi!C374="","",Transaksi!G374)</f>
        <v/>
      </c>
      <c r="F375" s="36" t="str">
        <f aca="false">IF(Transaksi!C374="","",Transaksi!J374)</f>
        <v/>
      </c>
      <c r="G375" s="36" t="str">
        <f aca="false">IF(Transaksi!C374="","",Transaksi!K374)</f>
        <v/>
      </c>
      <c r="H375" s="36" t="str">
        <f aca="false">IF($B375="","",Pengaturan!$C$10+SUMIFS(Transaksi!$J$6:$J374,Transaksi!$G$6:$G374,Pengaturan!$F$19)-SUMIFS(Transaksi!$K$6:$K374,Transaksi!$G$6:$G374,Pengaturan!$F$19))</f>
        <v/>
      </c>
      <c r="I375" s="36" t="str">
        <f aca="false">IF($B375="","",Pengaturan!$C$11+SUMIFS(Transaksi!$J$6:$J374,Transaksi!$G$6:$G374,Pengaturan!$F$20)-SUMIFS(Transaksi!$K$6:$K374,Transaksi!$G$6:$G374,Pengaturan!$F$20))</f>
        <v/>
      </c>
      <c r="J375" s="41" t="str">
        <f aca="false">IF($B375="","",H375+I375)</f>
        <v/>
      </c>
    </row>
    <row r="376" customFormat="false" ht="15" hidden="false" customHeight="false" outlineLevel="0" collapsed="false">
      <c r="B376" s="38" t="str">
        <f aca="false">IF(Transaksi!C375="","",Transaksi!C375)</f>
        <v/>
      </c>
      <c r="C376" s="39" t="str">
        <f aca="false">IF(Transaksi!C375="","",Transaksi!D375)</f>
        <v/>
      </c>
      <c r="D376" s="40" t="str">
        <f aca="false">IF(Transaksi!C375="","",Transaksi!H375)</f>
        <v/>
      </c>
      <c r="E376" s="39" t="str">
        <f aca="false">IF(Transaksi!C375="","",Transaksi!G375)</f>
        <v/>
      </c>
      <c r="F376" s="36" t="str">
        <f aca="false">IF(Transaksi!C375="","",Transaksi!J375)</f>
        <v/>
      </c>
      <c r="G376" s="36" t="str">
        <f aca="false">IF(Transaksi!C375="","",Transaksi!K375)</f>
        <v/>
      </c>
      <c r="H376" s="36" t="str">
        <f aca="false">IF($B376="","",Pengaturan!$C$10+SUMIFS(Transaksi!$J$6:$J375,Transaksi!$G$6:$G375,Pengaturan!$F$19)-SUMIFS(Transaksi!$K$6:$K375,Transaksi!$G$6:$G375,Pengaturan!$F$19))</f>
        <v/>
      </c>
      <c r="I376" s="36" t="str">
        <f aca="false">IF($B376="","",Pengaturan!$C$11+SUMIFS(Transaksi!$J$6:$J375,Transaksi!$G$6:$G375,Pengaturan!$F$20)-SUMIFS(Transaksi!$K$6:$K375,Transaksi!$G$6:$G375,Pengaturan!$F$20))</f>
        <v/>
      </c>
      <c r="J376" s="41" t="str">
        <f aca="false">IF($B376="","",H376+I376)</f>
        <v/>
      </c>
    </row>
    <row r="377" customFormat="false" ht="15" hidden="false" customHeight="false" outlineLevel="0" collapsed="false">
      <c r="B377" s="38" t="str">
        <f aca="false">IF(Transaksi!C376="","",Transaksi!C376)</f>
        <v/>
      </c>
      <c r="C377" s="39" t="str">
        <f aca="false">IF(Transaksi!C376="","",Transaksi!D376)</f>
        <v/>
      </c>
      <c r="D377" s="40" t="str">
        <f aca="false">IF(Transaksi!C376="","",Transaksi!H376)</f>
        <v/>
      </c>
      <c r="E377" s="39" t="str">
        <f aca="false">IF(Transaksi!C376="","",Transaksi!G376)</f>
        <v/>
      </c>
      <c r="F377" s="36" t="str">
        <f aca="false">IF(Transaksi!C376="","",Transaksi!J376)</f>
        <v/>
      </c>
      <c r="G377" s="36" t="str">
        <f aca="false">IF(Transaksi!C376="","",Transaksi!K376)</f>
        <v/>
      </c>
      <c r="H377" s="36" t="str">
        <f aca="false">IF($B377="","",Pengaturan!$C$10+SUMIFS(Transaksi!$J$6:$J376,Transaksi!$G$6:$G376,Pengaturan!$F$19)-SUMIFS(Transaksi!$K$6:$K376,Transaksi!$G$6:$G376,Pengaturan!$F$19))</f>
        <v/>
      </c>
      <c r="I377" s="36" t="str">
        <f aca="false">IF($B377="","",Pengaturan!$C$11+SUMIFS(Transaksi!$J$6:$J376,Transaksi!$G$6:$G376,Pengaturan!$F$20)-SUMIFS(Transaksi!$K$6:$K376,Transaksi!$G$6:$G376,Pengaturan!$F$20))</f>
        <v/>
      </c>
      <c r="J377" s="41" t="str">
        <f aca="false">IF($B377="","",H377+I377)</f>
        <v/>
      </c>
    </row>
    <row r="378" customFormat="false" ht="15" hidden="false" customHeight="false" outlineLevel="0" collapsed="false">
      <c r="B378" s="38" t="str">
        <f aca="false">IF(Transaksi!C377="","",Transaksi!C377)</f>
        <v/>
      </c>
      <c r="C378" s="39" t="str">
        <f aca="false">IF(Transaksi!C377="","",Transaksi!D377)</f>
        <v/>
      </c>
      <c r="D378" s="40" t="str">
        <f aca="false">IF(Transaksi!C377="","",Transaksi!H377)</f>
        <v/>
      </c>
      <c r="E378" s="39" t="str">
        <f aca="false">IF(Transaksi!C377="","",Transaksi!G377)</f>
        <v/>
      </c>
      <c r="F378" s="36" t="str">
        <f aca="false">IF(Transaksi!C377="","",Transaksi!J377)</f>
        <v/>
      </c>
      <c r="G378" s="36" t="str">
        <f aca="false">IF(Transaksi!C377="","",Transaksi!K377)</f>
        <v/>
      </c>
      <c r="H378" s="36" t="str">
        <f aca="false">IF($B378="","",Pengaturan!$C$10+SUMIFS(Transaksi!$J$6:$J377,Transaksi!$G$6:$G377,Pengaturan!$F$19)-SUMIFS(Transaksi!$K$6:$K377,Transaksi!$G$6:$G377,Pengaturan!$F$19))</f>
        <v/>
      </c>
      <c r="I378" s="36" t="str">
        <f aca="false">IF($B378="","",Pengaturan!$C$11+SUMIFS(Transaksi!$J$6:$J377,Transaksi!$G$6:$G377,Pengaturan!$F$20)-SUMIFS(Transaksi!$K$6:$K377,Transaksi!$G$6:$G377,Pengaturan!$F$20))</f>
        <v/>
      </c>
      <c r="J378" s="41" t="str">
        <f aca="false">IF($B378="","",H378+I378)</f>
        <v/>
      </c>
    </row>
    <row r="379" customFormat="false" ht="15" hidden="false" customHeight="false" outlineLevel="0" collapsed="false">
      <c r="B379" s="38" t="str">
        <f aca="false">IF(Transaksi!C378="","",Transaksi!C378)</f>
        <v/>
      </c>
      <c r="C379" s="39" t="str">
        <f aca="false">IF(Transaksi!C378="","",Transaksi!D378)</f>
        <v/>
      </c>
      <c r="D379" s="40" t="str">
        <f aca="false">IF(Transaksi!C378="","",Transaksi!H378)</f>
        <v/>
      </c>
      <c r="E379" s="39" t="str">
        <f aca="false">IF(Transaksi!C378="","",Transaksi!G378)</f>
        <v/>
      </c>
      <c r="F379" s="36" t="str">
        <f aca="false">IF(Transaksi!C378="","",Transaksi!J378)</f>
        <v/>
      </c>
      <c r="G379" s="36" t="str">
        <f aca="false">IF(Transaksi!C378="","",Transaksi!K378)</f>
        <v/>
      </c>
      <c r="H379" s="36" t="str">
        <f aca="false">IF($B379="","",Pengaturan!$C$10+SUMIFS(Transaksi!$J$6:$J378,Transaksi!$G$6:$G378,Pengaturan!$F$19)-SUMIFS(Transaksi!$K$6:$K378,Transaksi!$G$6:$G378,Pengaturan!$F$19))</f>
        <v/>
      </c>
      <c r="I379" s="36" t="str">
        <f aca="false">IF($B379="","",Pengaturan!$C$11+SUMIFS(Transaksi!$J$6:$J378,Transaksi!$G$6:$G378,Pengaturan!$F$20)-SUMIFS(Transaksi!$K$6:$K378,Transaksi!$G$6:$G378,Pengaturan!$F$20))</f>
        <v/>
      </c>
      <c r="J379" s="41" t="str">
        <f aca="false">IF($B379="","",H379+I379)</f>
        <v/>
      </c>
    </row>
    <row r="380" customFormat="false" ht="15" hidden="false" customHeight="false" outlineLevel="0" collapsed="false">
      <c r="B380" s="38" t="str">
        <f aca="false">IF(Transaksi!C379="","",Transaksi!C379)</f>
        <v/>
      </c>
      <c r="C380" s="39" t="str">
        <f aca="false">IF(Transaksi!C379="","",Transaksi!D379)</f>
        <v/>
      </c>
      <c r="D380" s="40" t="str">
        <f aca="false">IF(Transaksi!C379="","",Transaksi!H379)</f>
        <v/>
      </c>
      <c r="E380" s="39" t="str">
        <f aca="false">IF(Transaksi!C379="","",Transaksi!G379)</f>
        <v/>
      </c>
      <c r="F380" s="36" t="str">
        <f aca="false">IF(Transaksi!C379="","",Transaksi!J379)</f>
        <v/>
      </c>
      <c r="G380" s="36" t="str">
        <f aca="false">IF(Transaksi!C379="","",Transaksi!K379)</f>
        <v/>
      </c>
      <c r="H380" s="36" t="str">
        <f aca="false">IF($B380="","",Pengaturan!$C$10+SUMIFS(Transaksi!$J$6:$J379,Transaksi!$G$6:$G379,Pengaturan!$F$19)-SUMIFS(Transaksi!$K$6:$K379,Transaksi!$G$6:$G379,Pengaturan!$F$19))</f>
        <v/>
      </c>
      <c r="I380" s="36" t="str">
        <f aca="false">IF($B380="","",Pengaturan!$C$11+SUMIFS(Transaksi!$J$6:$J379,Transaksi!$G$6:$G379,Pengaturan!$F$20)-SUMIFS(Transaksi!$K$6:$K379,Transaksi!$G$6:$G379,Pengaturan!$F$20))</f>
        <v/>
      </c>
      <c r="J380" s="41" t="str">
        <f aca="false">IF($B380="","",H380+I380)</f>
        <v/>
      </c>
    </row>
    <row r="381" customFormat="false" ht="15" hidden="false" customHeight="false" outlineLevel="0" collapsed="false">
      <c r="B381" s="38" t="str">
        <f aca="false">IF(Transaksi!C380="","",Transaksi!C380)</f>
        <v/>
      </c>
      <c r="C381" s="39" t="str">
        <f aca="false">IF(Transaksi!C380="","",Transaksi!D380)</f>
        <v/>
      </c>
      <c r="D381" s="40" t="str">
        <f aca="false">IF(Transaksi!C380="","",Transaksi!H380)</f>
        <v/>
      </c>
      <c r="E381" s="39" t="str">
        <f aca="false">IF(Transaksi!C380="","",Transaksi!G380)</f>
        <v/>
      </c>
      <c r="F381" s="36" t="str">
        <f aca="false">IF(Transaksi!C380="","",Transaksi!J380)</f>
        <v/>
      </c>
      <c r="G381" s="36" t="str">
        <f aca="false">IF(Transaksi!C380="","",Transaksi!K380)</f>
        <v/>
      </c>
      <c r="H381" s="36" t="str">
        <f aca="false">IF($B381="","",Pengaturan!$C$10+SUMIFS(Transaksi!$J$6:$J380,Transaksi!$G$6:$G380,Pengaturan!$F$19)-SUMIFS(Transaksi!$K$6:$K380,Transaksi!$G$6:$G380,Pengaturan!$F$19))</f>
        <v/>
      </c>
      <c r="I381" s="36" t="str">
        <f aca="false">IF($B381="","",Pengaturan!$C$11+SUMIFS(Transaksi!$J$6:$J380,Transaksi!$G$6:$G380,Pengaturan!$F$20)-SUMIFS(Transaksi!$K$6:$K380,Transaksi!$G$6:$G380,Pengaturan!$F$20))</f>
        <v/>
      </c>
      <c r="J381" s="41" t="str">
        <f aca="false">IF($B381="","",H381+I381)</f>
        <v/>
      </c>
    </row>
    <row r="382" customFormat="false" ht="15" hidden="false" customHeight="false" outlineLevel="0" collapsed="false">
      <c r="B382" s="38" t="str">
        <f aca="false">IF(Transaksi!C381="","",Transaksi!C381)</f>
        <v/>
      </c>
      <c r="C382" s="39" t="str">
        <f aca="false">IF(Transaksi!C381="","",Transaksi!D381)</f>
        <v/>
      </c>
      <c r="D382" s="40" t="str">
        <f aca="false">IF(Transaksi!C381="","",Transaksi!H381)</f>
        <v/>
      </c>
      <c r="E382" s="39" t="str">
        <f aca="false">IF(Transaksi!C381="","",Transaksi!G381)</f>
        <v/>
      </c>
      <c r="F382" s="36" t="str">
        <f aca="false">IF(Transaksi!C381="","",Transaksi!J381)</f>
        <v/>
      </c>
      <c r="G382" s="36" t="str">
        <f aca="false">IF(Transaksi!C381="","",Transaksi!K381)</f>
        <v/>
      </c>
      <c r="H382" s="36" t="str">
        <f aca="false">IF($B382="","",Pengaturan!$C$10+SUMIFS(Transaksi!$J$6:$J381,Transaksi!$G$6:$G381,Pengaturan!$F$19)-SUMIFS(Transaksi!$K$6:$K381,Transaksi!$G$6:$G381,Pengaturan!$F$19))</f>
        <v/>
      </c>
      <c r="I382" s="36" t="str">
        <f aca="false">IF($B382="","",Pengaturan!$C$11+SUMIFS(Transaksi!$J$6:$J381,Transaksi!$G$6:$G381,Pengaturan!$F$20)-SUMIFS(Transaksi!$K$6:$K381,Transaksi!$G$6:$G381,Pengaturan!$F$20))</f>
        <v/>
      </c>
      <c r="J382" s="41" t="str">
        <f aca="false">IF($B382="","",H382+I382)</f>
        <v/>
      </c>
    </row>
    <row r="383" customFormat="false" ht="15" hidden="false" customHeight="false" outlineLevel="0" collapsed="false">
      <c r="B383" s="38" t="str">
        <f aca="false">IF(Transaksi!C382="","",Transaksi!C382)</f>
        <v/>
      </c>
      <c r="C383" s="39" t="str">
        <f aca="false">IF(Transaksi!C382="","",Transaksi!D382)</f>
        <v/>
      </c>
      <c r="D383" s="40" t="str">
        <f aca="false">IF(Transaksi!C382="","",Transaksi!H382)</f>
        <v/>
      </c>
      <c r="E383" s="39" t="str">
        <f aca="false">IF(Transaksi!C382="","",Transaksi!G382)</f>
        <v/>
      </c>
      <c r="F383" s="36" t="str">
        <f aca="false">IF(Transaksi!C382="","",Transaksi!J382)</f>
        <v/>
      </c>
      <c r="G383" s="36" t="str">
        <f aca="false">IF(Transaksi!C382="","",Transaksi!K382)</f>
        <v/>
      </c>
      <c r="H383" s="36" t="str">
        <f aca="false">IF($B383="","",Pengaturan!$C$10+SUMIFS(Transaksi!$J$6:$J382,Transaksi!$G$6:$G382,Pengaturan!$F$19)-SUMIFS(Transaksi!$K$6:$K382,Transaksi!$G$6:$G382,Pengaturan!$F$19))</f>
        <v/>
      </c>
      <c r="I383" s="36" t="str">
        <f aca="false">IF($B383="","",Pengaturan!$C$11+SUMIFS(Transaksi!$J$6:$J382,Transaksi!$G$6:$G382,Pengaturan!$F$20)-SUMIFS(Transaksi!$K$6:$K382,Transaksi!$G$6:$G382,Pengaturan!$F$20))</f>
        <v/>
      </c>
      <c r="J383" s="41" t="str">
        <f aca="false">IF($B383="","",H383+I383)</f>
        <v/>
      </c>
    </row>
    <row r="384" customFormat="false" ht="15" hidden="false" customHeight="false" outlineLevel="0" collapsed="false">
      <c r="B384" s="38" t="str">
        <f aca="false">IF(Transaksi!C383="","",Transaksi!C383)</f>
        <v/>
      </c>
      <c r="C384" s="39" t="str">
        <f aca="false">IF(Transaksi!C383="","",Transaksi!D383)</f>
        <v/>
      </c>
      <c r="D384" s="40" t="str">
        <f aca="false">IF(Transaksi!C383="","",Transaksi!H383)</f>
        <v/>
      </c>
      <c r="E384" s="39" t="str">
        <f aca="false">IF(Transaksi!C383="","",Transaksi!G383)</f>
        <v/>
      </c>
      <c r="F384" s="36" t="str">
        <f aca="false">IF(Transaksi!C383="","",Transaksi!J383)</f>
        <v/>
      </c>
      <c r="G384" s="36" t="str">
        <f aca="false">IF(Transaksi!C383="","",Transaksi!K383)</f>
        <v/>
      </c>
      <c r="H384" s="36" t="str">
        <f aca="false">IF($B384="","",Pengaturan!$C$10+SUMIFS(Transaksi!$J$6:$J383,Transaksi!$G$6:$G383,Pengaturan!$F$19)-SUMIFS(Transaksi!$K$6:$K383,Transaksi!$G$6:$G383,Pengaturan!$F$19))</f>
        <v/>
      </c>
      <c r="I384" s="36" t="str">
        <f aca="false">IF($B384="","",Pengaturan!$C$11+SUMIFS(Transaksi!$J$6:$J383,Transaksi!$G$6:$G383,Pengaturan!$F$20)-SUMIFS(Transaksi!$K$6:$K383,Transaksi!$G$6:$G383,Pengaturan!$F$20))</f>
        <v/>
      </c>
      <c r="J384" s="41" t="str">
        <f aca="false">IF($B384="","",H384+I384)</f>
        <v/>
      </c>
    </row>
    <row r="385" customFormat="false" ht="15" hidden="false" customHeight="false" outlineLevel="0" collapsed="false">
      <c r="B385" s="38" t="str">
        <f aca="false">IF(Transaksi!C384="","",Transaksi!C384)</f>
        <v/>
      </c>
      <c r="C385" s="39" t="str">
        <f aca="false">IF(Transaksi!C384="","",Transaksi!D384)</f>
        <v/>
      </c>
      <c r="D385" s="40" t="str">
        <f aca="false">IF(Transaksi!C384="","",Transaksi!H384)</f>
        <v/>
      </c>
      <c r="E385" s="39" t="str">
        <f aca="false">IF(Transaksi!C384="","",Transaksi!G384)</f>
        <v/>
      </c>
      <c r="F385" s="36" t="str">
        <f aca="false">IF(Transaksi!C384="","",Transaksi!J384)</f>
        <v/>
      </c>
      <c r="G385" s="36" t="str">
        <f aca="false">IF(Transaksi!C384="","",Transaksi!K384)</f>
        <v/>
      </c>
      <c r="H385" s="36" t="str">
        <f aca="false">IF($B385="","",Pengaturan!$C$10+SUMIFS(Transaksi!$J$6:$J384,Transaksi!$G$6:$G384,Pengaturan!$F$19)-SUMIFS(Transaksi!$K$6:$K384,Transaksi!$G$6:$G384,Pengaturan!$F$19))</f>
        <v/>
      </c>
      <c r="I385" s="36" t="str">
        <f aca="false">IF($B385="","",Pengaturan!$C$11+SUMIFS(Transaksi!$J$6:$J384,Transaksi!$G$6:$G384,Pengaturan!$F$20)-SUMIFS(Transaksi!$K$6:$K384,Transaksi!$G$6:$G384,Pengaturan!$F$20))</f>
        <v/>
      </c>
      <c r="J385" s="41" t="str">
        <f aca="false">IF($B385="","",H385+I385)</f>
        <v/>
      </c>
    </row>
    <row r="386" customFormat="false" ht="15" hidden="false" customHeight="false" outlineLevel="0" collapsed="false">
      <c r="B386" s="38" t="str">
        <f aca="false">IF(Transaksi!C385="","",Transaksi!C385)</f>
        <v/>
      </c>
      <c r="C386" s="39" t="str">
        <f aca="false">IF(Transaksi!C385="","",Transaksi!D385)</f>
        <v/>
      </c>
      <c r="D386" s="40" t="str">
        <f aca="false">IF(Transaksi!C385="","",Transaksi!H385)</f>
        <v/>
      </c>
      <c r="E386" s="39" t="str">
        <f aca="false">IF(Transaksi!C385="","",Transaksi!G385)</f>
        <v/>
      </c>
      <c r="F386" s="36" t="str">
        <f aca="false">IF(Transaksi!C385="","",Transaksi!J385)</f>
        <v/>
      </c>
      <c r="G386" s="36" t="str">
        <f aca="false">IF(Transaksi!C385="","",Transaksi!K385)</f>
        <v/>
      </c>
      <c r="H386" s="36" t="str">
        <f aca="false">IF($B386="","",Pengaturan!$C$10+SUMIFS(Transaksi!$J$6:$J385,Transaksi!$G$6:$G385,Pengaturan!$F$19)-SUMIFS(Transaksi!$K$6:$K385,Transaksi!$G$6:$G385,Pengaturan!$F$19))</f>
        <v/>
      </c>
      <c r="I386" s="36" t="str">
        <f aca="false">IF($B386="","",Pengaturan!$C$11+SUMIFS(Transaksi!$J$6:$J385,Transaksi!$G$6:$G385,Pengaturan!$F$20)-SUMIFS(Transaksi!$K$6:$K385,Transaksi!$G$6:$G385,Pengaturan!$F$20))</f>
        <v/>
      </c>
      <c r="J386" s="41" t="str">
        <f aca="false">IF($B386="","",H386+I386)</f>
        <v/>
      </c>
    </row>
    <row r="387" customFormat="false" ht="15" hidden="false" customHeight="false" outlineLevel="0" collapsed="false">
      <c r="B387" s="38" t="str">
        <f aca="false">IF(Transaksi!C386="","",Transaksi!C386)</f>
        <v/>
      </c>
      <c r="C387" s="39" t="str">
        <f aca="false">IF(Transaksi!C386="","",Transaksi!D386)</f>
        <v/>
      </c>
      <c r="D387" s="40" t="str">
        <f aca="false">IF(Transaksi!C386="","",Transaksi!H386)</f>
        <v/>
      </c>
      <c r="E387" s="39" t="str">
        <f aca="false">IF(Transaksi!C386="","",Transaksi!G386)</f>
        <v/>
      </c>
      <c r="F387" s="36" t="str">
        <f aca="false">IF(Transaksi!C386="","",Transaksi!J386)</f>
        <v/>
      </c>
      <c r="G387" s="36" t="str">
        <f aca="false">IF(Transaksi!C386="","",Transaksi!K386)</f>
        <v/>
      </c>
      <c r="H387" s="36" t="str">
        <f aca="false">IF($B387="","",Pengaturan!$C$10+SUMIFS(Transaksi!$J$6:$J386,Transaksi!$G$6:$G386,Pengaturan!$F$19)-SUMIFS(Transaksi!$K$6:$K386,Transaksi!$G$6:$G386,Pengaturan!$F$19))</f>
        <v/>
      </c>
      <c r="I387" s="36" t="str">
        <f aca="false">IF($B387="","",Pengaturan!$C$11+SUMIFS(Transaksi!$J$6:$J386,Transaksi!$G$6:$G386,Pengaturan!$F$20)-SUMIFS(Transaksi!$K$6:$K386,Transaksi!$G$6:$G386,Pengaturan!$F$20))</f>
        <v/>
      </c>
      <c r="J387" s="41" t="str">
        <f aca="false">IF($B387="","",H387+I387)</f>
        <v/>
      </c>
    </row>
    <row r="388" customFormat="false" ht="15" hidden="false" customHeight="false" outlineLevel="0" collapsed="false">
      <c r="B388" s="38" t="str">
        <f aca="false">IF(Transaksi!C387="","",Transaksi!C387)</f>
        <v/>
      </c>
      <c r="C388" s="39" t="str">
        <f aca="false">IF(Transaksi!C387="","",Transaksi!D387)</f>
        <v/>
      </c>
      <c r="D388" s="40" t="str">
        <f aca="false">IF(Transaksi!C387="","",Transaksi!H387)</f>
        <v/>
      </c>
      <c r="E388" s="39" t="str">
        <f aca="false">IF(Transaksi!C387="","",Transaksi!G387)</f>
        <v/>
      </c>
      <c r="F388" s="36" t="str">
        <f aca="false">IF(Transaksi!C387="","",Transaksi!J387)</f>
        <v/>
      </c>
      <c r="G388" s="36" t="str">
        <f aca="false">IF(Transaksi!C387="","",Transaksi!K387)</f>
        <v/>
      </c>
      <c r="H388" s="36" t="str">
        <f aca="false">IF($B388="","",Pengaturan!$C$10+SUMIFS(Transaksi!$J$6:$J387,Transaksi!$G$6:$G387,Pengaturan!$F$19)-SUMIFS(Transaksi!$K$6:$K387,Transaksi!$G$6:$G387,Pengaturan!$F$19))</f>
        <v/>
      </c>
      <c r="I388" s="36" t="str">
        <f aca="false">IF($B388="","",Pengaturan!$C$11+SUMIFS(Transaksi!$J$6:$J387,Transaksi!$G$6:$G387,Pengaturan!$F$20)-SUMIFS(Transaksi!$K$6:$K387,Transaksi!$G$6:$G387,Pengaturan!$F$20))</f>
        <v/>
      </c>
      <c r="J388" s="41" t="str">
        <f aca="false">IF($B388="","",H388+I388)</f>
        <v/>
      </c>
    </row>
    <row r="389" customFormat="false" ht="15" hidden="false" customHeight="false" outlineLevel="0" collapsed="false">
      <c r="B389" s="38" t="str">
        <f aca="false">IF(Transaksi!C388="","",Transaksi!C388)</f>
        <v/>
      </c>
      <c r="C389" s="39" t="str">
        <f aca="false">IF(Transaksi!C388="","",Transaksi!D388)</f>
        <v/>
      </c>
      <c r="D389" s="40" t="str">
        <f aca="false">IF(Transaksi!C388="","",Transaksi!H388)</f>
        <v/>
      </c>
      <c r="E389" s="39" t="str">
        <f aca="false">IF(Transaksi!C388="","",Transaksi!G388)</f>
        <v/>
      </c>
      <c r="F389" s="36" t="str">
        <f aca="false">IF(Transaksi!C388="","",Transaksi!J388)</f>
        <v/>
      </c>
      <c r="G389" s="36" t="str">
        <f aca="false">IF(Transaksi!C388="","",Transaksi!K388)</f>
        <v/>
      </c>
      <c r="H389" s="36" t="str">
        <f aca="false">IF($B389="","",Pengaturan!$C$10+SUMIFS(Transaksi!$J$6:$J388,Transaksi!$G$6:$G388,Pengaturan!$F$19)-SUMIFS(Transaksi!$K$6:$K388,Transaksi!$G$6:$G388,Pengaturan!$F$19))</f>
        <v/>
      </c>
      <c r="I389" s="36" t="str">
        <f aca="false">IF($B389="","",Pengaturan!$C$11+SUMIFS(Transaksi!$J$6:$J388,Transaksi!$G$6:$G388,Pengaturan!$F$20)-SUMIFS(Transaksi!$K$6:$K388,Transaksi!$G$6:$G388,Pengaturan!$F$20))</f>
        <v/>
      </c>
      <c r="J389" s="41" t="str">
        <f aca="false">IF($B389="","",H389+I389)</f>
        <v/>
      </c>
    </row>
    <row r="390" customFormat="false" ht="15" hidden="false" customHeight="false" outlineLevel="0" collapsed="false">
      <c r="B390" s="38" t="str">
        <f aca="false">IF(Transaksi!C389="","",Transaksi!C389)</f>
        <v/>
      </c>
      <c r="C390" s="39" t="str">
        <f aca="false">IF(Transaksi!C389="","",Transaksi!D389)</f>
        <v/>
      </c>
      <c r="D390" s="40" t="str">
        <f aca="false">IF(Transaksi!C389="","",Transaksi!H389)</f>
        <v/>
      </c>
      <c r="E390" s="39" t="str">
        <f aca="false">IF(Transaksi!C389="","",Transaksi!G389)</f>
        <v/>
      </c>
      <c r="F390" s="36" t="str">
        <f aca="false">IF(Transaksi!C389="","",Transaksi!J389)</f>
        <v/>
      </c>
      <c r="G390" s="36" t="str">
        <f aca="false">IF(Transaksi!C389="","",Transaksi!K389)</f>
        <v/>
      </c>
      <c r="H390" s="36" t="str">
        <f aca="false">IF($B390="","",Pengaturan!$C$10+SUMIFS(Transaksi!$J$6:$J389,Transaksi!$G$6:$G389,Pengaturan!$F$19)-SUMIFS(Transaksi!$K$6:$K389,Transaksi!$G$6:$G389,Pengaturan!$F$19))</f>
        <v/>
      </c>
      <c r="I390" s="36" t="str">
        <f aca="false">IF($B390="","",Pengaturan!$C$11+SUMIFS(Transaksi!$J$6:$J389,Transaksi!$G$6:$G389,Pengaturan!$F$20)-SUMIFS(Transaksi!$K$6:$K389,Transaksi!$G$6:$G389,Pengaturan!$F$20))</f>
        <v/>
      </c>
      <c r="J390" s="41" t="str">
        <f aca="false">IF($B390="","",H390+I390)</f>
        <v/>
      </c>
    </row>
    <row r="391" customFormat="false" ht="15" hidden="false" customHeight="false" outlineLevel="0" collapsed="false">
      <c r="B391" s="38" t="str">
        <f aca="false">IF(Transaksi!C390="","",Transaksi!C390)</f>
        <v/>
      </c>
      <c r="C391" s="39" t="str">
        <f aca="false">IF(Transaksi!C390="","",Transaksi!D390)</f>
        <v/>
      </c>
      <c r="D391" s="40" t="str">
        <f aca="false">IF(Transaksi!C390="","",Transaksi!H390)</f>
        <v/>
      </c>
      <c r="E391" s="39" t="str">
        <f aca="false">IF(Transaksi!C390="","",Transaksi!G390)</f>
        <v/>
      </c>
      <c r="F391" s="36" t="str">
        <f aca="false">IF(Transaksi!C390="","",Transaksi!J390)</f>
        <v/>
      </c>
      <c r="G391" s="36" t="str">
        <f aca="false">IF(Transaksi!C390="","",Transaksi!K390)</f>
        <v/>
      </c>
      <c r="H391" s="36" t="str">
        <f aca="false">IF($B391="","",Pengaturan!$C$10+SUMIFS(Transaksi!$J$6:$J390,Transaksi!$G$6:$G390,Pengaturan!$F$19)-SUMIFS(Transaksi!$K$6:$K390,Transaksi!$G$6:$G390,Pengaturan!$F$19))</f>
        <v/>
      </c>
      <c r="I391" s="36" t="str">
        <f aca="false">IF($B391="","",Pengaturan!$C$11+SUMIFS(Transaksi!$J$6:$J390,Transaksi!$G$6:$G390,Pengaturan!$F$20)-SUMIFS(Transaksi!$K$6:$K390,Transaksi!$G$6:$G390,Pengaturan!$F$20))</f>
        <v/>
      </c>
      <c r="J391" s="41" t="str">
        <f aca="false">IF($B391="","",H391+I391)</f>
        <v/>
      </c>
    </row>
    <row r="392" customFormat="false" ht="15" hidden="false" customHeight="false" outlineLevel="0" collapsed="false">
      <c r="B392" s="38" t="str">
        <f aca="false">IF(Transaksi!C391="","",Transaksi!C391)</f>
        <v/>
      </c>
      <c r="C392" s="39" t="str">
        <f aca="false">IF(Transaksi!C391="","",Transaksi!D391)</f>
        <v/>
      </c>
      <c r="D392" s="40" t="str">
        <f aca="false">IF(Transaksi!C391="","",Transaksi!H391)</f>
        <v/>
      </c>
      <c r="E392" s="39" t="str">
        <f aca="false">IF(Transaksi!C391="","",Transaksi!G391)</f>
        <v/>
      </c>
      <c r="F392" s="36" t="str">
        <f aca="false">IF(Transaksi!C391="","",Transaksi!J391)</f>
        <v/>
      </c>
      <c r="G392" s="36" t="str">
        <f aca="false">IF(Transaksi!C391="","",Transaksi!K391)</f>
        <v/>
      </c>
      <c r="H392" s="36" t="str">
        <f aca="false">IF($B392="","",Pengaturan!$C$10+SUMIFS(Transaksi!$J$6:$J391,Transaksi!$G$6:$G391,Pengaturan!$F$19)-SUMIFS(Transaksi!$K$6:$K391,Transaksi!$G$6:$G391,Pengaturan!$F$19))</f>
        <v/>
      </c>
      <c r="I392" s="36" t="str">
        <f aca="false">IF($B392="","",Pengaturan!$C$11+SUMIFS(Transaksi!$J$6:$J391,Transaksi!$G$6:$G391,Pengaturan!$F$20)-SUMIFS(Transaksi!$K$6:$K391,Transaksi!$G$6:$G391,Pengaturan!$F$20))</f>
        <v/>
      </c>
      <c r="J392" s="41" t="str">
        <f aca="false">IF($B392="","",H392+I392)</f>
        <v/>
      </c>
    </row>
    <row r="393" customFormat="false" ht="15" hidden="false" customHeight="false" outlineLevel="0" collapsed="false">
      <c r="B393" s="38" t="str">
        <f aca="false">IF(Transaksi!C392="","",Transaksi!C392)</f>
        <v/>
      </c>
      <c r="C393" s="39" t="str">
        <f aca="false">IF(Transaksi!C392="","",Transaksi!D392)</f>
        <v/>
      </c>
      <c r="D393" s="40" t="str">
        <f aca="false">IF(Transaksi!C392="","",Transaksi!H392)</f>
        <v/>
      </c>
      <c r="E393" s="39" t="str">
        <f aca="false">IF(Transaksi!C392="","",Transaksi!G392)</f>
        <v/>
      </c>
      <c r="F393" s="36" t="str">
        <f aca="false">IF(Transaksi!C392="","",Transaksi!J392)</f>
        <v/>
      </c>
      <c r="G393" s="36" t="str">
        <f aca="false">IF(Transaksi!C392="","",Transaksi!K392)</f>
        <v/>
      </c>
      <c r="H393" s="36" t="str">
        <f aca="false">IF($B393="","",Pengaturan!$C$10+SUMIFS(Transaksi!$J$6:$J392,Transaksi!$G$6:$G392,Pengaturan!$F$19)-SUMIFS(Transaksi!$K$6:$K392,Transaksi!$G$6:$G392,Pengaturan!$F$19))</f>
        <v/>
      </c>
      <c r="I393" s="36" t="str">
        <f aca="false">IF($B393="","",Pengaturan!$C$11+SUMIFS(Transaksi!$J$6:$J392,Transaksi!$G$6:$G392,Pengaturan!$F$20)-SUMIFS(Transaksi!$K$6:$K392,Transaksi!$G$6:$G392,Pengaturan!$F$20))</f>
        <v/>
      </c>
      <c r="J393" s="41" t="str">
        <f aca="false">IF($B393="","",H393+I393)</f>
        <v/>
      </c>
    </row>
    <row r="394" customFormat="false" ht="15" hidden="false" customHeight="false" outlineLevel="0" collapsed="false">
      <c r="B394" s="38" t="str">
        <f aca="false">IF(Transaksi!C393="","",Transaksi!C393)</f>
        <v/>
      </c>
      <c r="C394" s="39" t="str">
        <f aca="false">IF(Transaksi!C393="","",Transaksi!D393)</f>
        <v/>
      </c>
      <c r="D394" s="40" t="str">
        <f aca="false">IF(Transaksi!C393="","",Transaksi!H393)</f>
        <v/>
      </c>
      <c r="E394" s="39" t="str">
        <f aca="false">IF(Transaksi!C393="","",Transaksi!G393)</f>
        <v/>
      </c>
      <c r="F394" s="36" t="str">
        <f aca="false">IF(Transaksi!C393="","",Transaksi!J393)</f>
        <v/>
      </c>
      <c r="G394" s="36" t="str">
        <f aca="false">IF(Transaksi!C393="","",Transaksi!K393)</f>
        <v/>
      </c>
      <c r="H394" s="36" t="str">
        <f aca="false">IF($B394="","",Pengaturan!$C$10+SUMIFS(Transaksi!$J$6:$J393,Transaksi!$G$6:$G393,Pengaturan!$F$19)-SUMIFS(Transaksi!$K$6:$K393,Transaksi!$G$6:$G393,Pengaturan!$F$19))</f>
        <v/>
      </c>
      <c r="I394" s="36" t="str">
        <f aca="false">IF($B394="","",Pengaturan!$C$11+SUMIFS(Transaksi!$J$6:$J393,Transaksi!$G$6:$G393,Pengaturan!$F$20)-SUMIFS(Transaksi!$K$6:$K393,Transaksi!$G$6:$G393,Pengaturan!$F$20))</f>
        <v/>
      </c>
      <c r="J394" s="41" t="str">
        <f aca="false">IF($B394="","",H394+I394)</f>
        <v/>
      </c>
    </row>
    <row r="395" customFormat="false" ht="15" hidden="false" customHeight="false" outlineLevel="0" collapsed="false">
      <c r="B395" s="38" t="str">
        <f aca="false">IF(Transaksi!C394="","",Transaksi!C394)</f>
        <v/>
      </c>
      <c r="C395" s="39" t="str">
        <f aca="false">IF(Transaksi!C394="","",Transaksi!D394)</f>
        <v/>
      </c>
      <c r="D395" s="40" t="str">
        <f aca="false">IF(Transaksi!C394="","",Transaksi!H394)</f>
        <v/>
      </c>
      <c r="E395" s="39" t="str">
        <f aca="false">IF(Transaksi!C394="","",Transaksi!G394)</f>
        <v/>
      </c>
      <c r="F395" s="36" t="str">
        <f aca="false">IF(Transaksi!C394="","",Transaksi!J394)</f>
        <v/>
      </c>
      <c r="G395" s="36" t="str">
        <f aca="false">IF(Transaksi!C394="","",Transaksi!K394)</f>
        <v/>
      </c>
      <c r="H395" s="36" t="str">
        <f aca="false">IF($B395="","",Pengaturan!$C$10+SUMIFS(Transaksi!$J$6:$J394,Transaksi!$G$6:$G394,Pengaturan!$F$19)-SUMIFS(Transaksi!$K$6:$K394,Transaksi!$G$6:$G394,Pengaturan!$F$19))</f>
        <v/>
      </c>
      <c r="I395" s="36" t="str">
        <f aca="false">IF($B395="","",Pengaturan!$C$11+SUMIFS(Transaksi!$J$6:$J394,Transaksi!$G$6:$G394,Pengaturan!$F$20)-SUMIFS(Transaksi!$K$6:$K394,Transaksi!$G$6:$G394,Pengaturan!$F$20))</f>
        <v/>
      </c>
      <c r="J395" s="41" t="str">
        <f aca="false">IF($B395="","",H395+I395)</f>
        <v/>
      </c>
    </row>
    <row r="396" customFormat="false" ht="15" hidden="false" customHeight="false" outlineLevel="0" collapsed="false">
      <c r="B396" s="38" t="str">
        <f aca="false">IF(Transaksi!C395="","",Transaksi!C395)</f>
        <v/>
      </c>
      <c r="C396" s="39" t="str">
        <f aca="false">IF(Transaksi!C395="","",Transaksi!D395)</f>
        <v/>
      </c>
      <c r="D396" s="40" t="str">
        <f aca="false">IF(Transaksi!C395="","",Transaksi!H395)</f>
        <v/>
      </c>
      <c r="E396" s="39" t="str">
        <f aca="false">IF(Transaksi!C395="","",Transaksi!G395)</f>
        <v/>
      </c>
      <c r="F396" s="36" t="str">
        <f aca="false">IF(Transaksi!C395="","",Transaksi!J395)</f>
        <v/>
      </c>
      <c r="G396" s="36" t="str">
        <f aca="false">IF(Transaksi!C395="","",Transaksi!K395)</f>
        <v/>
      </c>
      <c r="H396" s="36" t="str">
        <f aca="false">IF($B396="","",Pengaturan!$C$10+SUMIFS(Transaksi!$J$6:$J395,Transaksi!$G$6:$G395,Pengaturan!$F$19)-SUMIFS(Transaksi!$K$6:$K395,Transaksi!$G$6:$G395,Pengaturan!$F$19))</f>
        <v/>
      </c>
      <c r="I396" s="36" t="str">
        <f aca="false">IF($B396="","",Pengaturan!$C$11+SUMIFS(Transaksi!$J$6:$J395,Transaksi!$G$6:$G395,Pengaturan!$F$20)-SUMIFS(Transaksi!$K$6:$K395,Transaksi!$G$6:$G395,Pengaturan!$F$20))</f>
        <v/>
      </c>
      <c r="J396" s="41" t="str">
        <f aca="false">IF($B396="","",H396+I396)</f>
        <v/>
      </c>
    </row>
    <row r="397" customFormat="false" ht="15" hidden="false" customHeight="false" outlineLevel="0" collapsed="false">
      <c r="B397" s="38" t="str">
        <f aca="false">IF(Transaksi!C396="","",Transaksi!C396)</f>
        <v/>
      </c>
      <c r="C397" s="39" t="str">
        <f aca="false">IF(Transaksi!C396="","",Transaksi!D396)</f>
        <v/>
      </c>
      <c r="D397" s="40" t="str">
        <f aca="false">IF(Transaksi!C396="","",Transaksi!H396)</f>
        <v/>
      </c>
      <c r="E397" s="39" t="str">
        <f aca="false">IF(Transaksi!C396="","",Transaksi!G396)</f>
        <v/>
      </c>
      <c r="F397" s="36" t="str">
        <f aca="false">IF(Transaksi!C396="","",Transaksi!J396)</f>
        <v/>
      </c>
      <c r="G397" s="36" t="str">
        <f aca="false">IF(Transaksi!C396="","",Transaksi!K396)</f>
        <v/>
      </c>
      <c r="H397" s="36" t="str">
        <f aca="false">IF($B397="","",Pengaturan!$C$10+SUMIFS(Transaksi!$J$6:$J396,Transaksi!$G$6:$G396,Pengaturan!$F$19)-SUMIFS(Transaksi!$K$6:$K396,Transaksi!$G$6:$G396,Pengaturan!$F$19))</f>
        <v/>
      </c>
      <c r="I397" s="36" t="str">
        <f aca="false">IF($B397="","",Pengaturan!$C$11+SUMIFS(Transaksi!$J$6:$J396,Transaksi!$G$6:$G396,Pengaturan!$F$20)-SUMIFS(Transaksi!$K$6:$K396,Transaksi!$G$6:$G396,Pengaturan!$F$20))</f>
        <v/>
      </c>
      <c r="J397" s="41" t="str">
        <f aca="false">IF($B397="","",H397+I397)</f>
        <v/>
      </c>
    </row>
    <row r="398" customFormat="false" ht="15" hidden="false" customHeight="false" outlineLevel="0" collapsed="false">
      <c r="B398" s="38" t="str">
        <f aca="false">IF(Transaksi!C397="","",Transaksi!C397)</f>
        <v/>
      </c>
      <c r="C398" s="39" t="str">
        <f aca="false">IF(Transaksi!C397="","",Transaksi!D397)</f>
        <v/>
      </c>
      <c r="D398" s="40" t="str">
        <f aca="false">IF(Transaksi!C397="","",Transaksi!H397)</f>
        <v/>
      </c>
      <c r="E398" s="39" t="str">
        <f aca="false">IF(Transaksi!C397="","",Transaksi!G397)</f>
        <v/>
      </c>
      <c r="F398" s="36" t="str">
        <f aca="false">IF(Transaksi!C397="","",Transaksi!J397)</f>
        <v/>
      </c>
      <c r="G398" s="36" t="str">
        <f aca="false">IF(Transaksi!C397="","",Transaksi!K397)</f>
        <v/>
      </c>
      <c r="H398" s="36" t="str">
        <f aca="false">IF($B398="","",Pengaturan!$C$10+SUMIFS(Transaksi!$J$6:$J397,Transaksi!$G$6:$G397,Pengaturan!$F$19)-SUMIFS(Transaksi!$K$6:$K397,Transaksi!$G$6:$G397,Pengaturan!$F$19))</f>
        <v/>
      </c>
      <c r="I398" s="36" t="str">
        <f aca="false">IF($B398="","",Pengaturan!$C$11+SUMIFS(Transaksi!$J$6:$J397,Transaksi!$G$6:$G397,Pengaturan!$F$20)-SUMIFS(Transaksi!$K$6:$K397,Transaksi!$G$6:$G397,Pengaturan!$F$20))</f>
        <v/>
      </c>
      <c r="J398" s="41" t="str">
        <f aca="false">IF($B398="","",H398+I398)</f>
        <v/>
      </c>
    </row>
    <row r="399" customFormat="false" ht="15" hidden="false" customHeight="false" outlineLevel="0" collapsed="false">
      <c r="B399" s="38" t="str">
        <f aca="false">IF(Transaksi!C398="","",Transaksi!C398)</f>
        <v/>
      </c>
      <c r="C399" s="39" t="str">
        <f aca="false">IF(Transaksi!C398="","",Transaksi!D398)</f>
        <v/>
      </c>
      <c r="D399" s="40" t="str">
        <f aca="false">IF(Transaksi!C398="","",Transaksi!H398)</f>
        <v/>
      </c>
      <c r="E399" s="39" t="str">
        <f aca="false">IF(Transaksi!C398="","",Transaksi!G398)</f>
        <v/>
      </c>
      <c r="F399" s="36" t="str">
        <f aca="false">IF(Transaksi!C398="","",Transaksi!J398)</f>
        <v/>
      </c>
      <c r="G399" s="36" t="str">
        <f aca="false">IF(Transaksi!C398="","",Transaksi!K398)</f>
        <v/>
      </c>
      <c r="H399" s="36" t="str">
        <f aca="false">IF($B399="","",Pengaturan!$C$10+SUMIFS(Transaksi!$J$6:$J398,Transaksi!$G$6:$G398,Pengaturan!$F$19)-SUMIFS(Transaksi!$K$6:$K398,Transaksi!$G$6:$G398,Pengaturan!$F$19))</f>
        <v/>
      </c>
      <c r="I399" s="36" t="str">
        <f aca="false">IF($B399="","",Pengaturan!$C$11+SUMIFS(Transaksi!$J$6:$J398,Transaksi!$G$6:$G398,Pengaturan!$F$20)-SUMIFS(Transaksi!$K$6:$K398,Transaksi!$G$6:$G398,Pengaturan!$F$20))</f>
        <v/>
      </c>
      <c r="J399" s="41" t="str">
        <f aca="false">IF($B399="","",H399+I399)</f>
        <v/>
      </c>
    </row>
    <row r="400" customFormat="false" ht="15" hidden="false" customHeight="false" outlineLevel="0" collapsed="false">
      <c r="B400" s="38" t="str">
        <f aca="false">IF(Transaksi!C399="","",Transaksi!C399)</f>
        <v/>
      </c>
      <c r="C400" s="39" t="str">
        <f aca="false">IF(Transaksi!C399="","",Transaksi!D399)</f>
        <v/>
      </c>
      <c r="D400" s="40" t="str">
        <f aca="false">IF(Transaksi!C399="","",Transaksi!H399)</f>
        <v/>
      </c>
      <c r="E400" s="39" t="str">
        <f aca="false">IF(Transaksi!C399="","",Transaksi!G399)</f>
        <v/>
      </c>
      <c r="F400" s="36" t="str">
        <f aca="false">IF(Transaksi!C399="","",Transaksi!J399)</f>
        <v/>
      </c>
      <c r="G400" s="36" t="str">
        <f aca="false">IF(Transaksi!C399="","",Transaksi!K399)</f>
        <v/>
      </c>
      <c r="H400" s="36" t="str">
        <f aca="false">IF($B400="","",Pengaturan!$C$10+SUMIFS(Transaksi!$J$6:$J399,Transaksi!$G$6:$G399,Pengaturan!$F$19)-SUMIFS(Transaksi!$K$6:$K399,Transaksi!$G$6:$G399,Pengaturan!$F$19))</f>
        <v/>
      </c>
      <c r="I400" s="36" t="str">
        <f aca="false">IF($B400="","",Pengaturan!$C$11+SUMIFS(Transaksi!$J$6:$J399,Transaksi!$G$6:$G399,Pengaturan!$F$20)-SUMIFS(Transaksi!$K$6:$K399,Transaksi!$G$6:$G399,Pengaturan!$F$20))</f>
        <v/>
      </c>
      <c r="J400" s="41" t="str">
        <f aca="false">IF($B400="","",H400+I400)</f>
        <v/>
      </c>
    </row>
    <row r="401" customFormat="false" ht="15" hidden="false" customHeight="false" outlineLevel="0" collapsed="false">
      <c r="B401" s="38" t="str">
        <f aca="false">IF(Transaksi!C400="","",Transaksi!C400)</f>
        <v/>
      </c>
      <c r="C401" s="39" t="str">
        <f aca="false">IF(Transaksi!C400="","",Transaksi!D400)</f>
        <v/>
      </c>
      <c r="D401" s="40" t="str">
        <f aca="false">IF(Transaksi!C400="","",Transaksi!H400)</f>
        <v/>
      </c>
      <c r="E401" s="39" t="str">
        <f aca="false">IF(Transaksi!C400="","",Transaksi!G400)</f>
        <v/>
      </c>
      <c r="F401" s="36" t="str">
        <f aca="false">IF(Transaksi!C400="","",Transaksi!J400)</f>
        <v/>
      </c>
      <c r="G401" s="36" t="str">
        <f aca="false">IF(Transaksi!C400="","",Transaksi!K400)</f>
        <v/>
      </c>
      <c r="H401" s="36" t="str">
        <f aca="false">IF($B401="","",Pengaturan!$C$10+SUMIFS(Transaksi!$J$6:$J400,Transaksi!$G$6:$G400,Pengaturan!$F$19)-SUMIFS(Transaksi!$K$6:$K400,Transaksi!$G$6:$G400,Pengaturan!$F$19))</f>
        <v/>
      </c>
      <c r="I401" s="36" t="str">
        <f aca="false">IF($B401="","",Pengaturan!$C$11+SUMIFS(Transaksi!$J$6:$J400,Transaksi!$G$6:$G400,Pengaturan!$F$20)-SUMIFS(Transaksi!$K$6:$K400,Transaksi!$G$6:$G400,Pengaturan!$F$20))</f>
        <v/>
      </c>
      <c r="J401" s="41" t="str">
        <f aca="false">IF($B401="","",H401+I401)</f>
        <v/>
      </c>
    </row>
    <row r="402" customFormat="false" ht="15" hidden="false" customHeight="false" outlineLevel="0" collapsed="false">
      <c r="B402" s="38" t="str">
        <f aca="false">IF(Transaksi!C401="","",Transaksi!C401)</f>
        <v/>
      </c>
      <c r="C402" s="39" t="str">
        <f aca="false">IF(Transaksi!C401="","",Transaksi!D401)</f>
        <v/>
      </c>
      <c r="D402" s="40" t="str">
        <f aca="false">IF(Transaksi!C401="","",Transaksi!H401)</f>
        <v/>
      </c>
      <c r="E402" s="39" t="str">
        <f aca="false">IF(Transaksi!C401="","",Transaksi!G401)</f>
        <v/>
      </c>
      <c r="F402" s="36" t="str">
        <f aca="false">IF(Transaksi!C401="","",Transaksi!J401)</f>
        <v/>
      </c>
      <c r="G402" s="36" t="str">
        <f aca="false">IF(Transaksi!C401="","",Transaksi!K401)</f>
        <v/>
      </c>
      <c r="H402" s="36" t="str">
        <f aca="false">IF($B402="","",Pengaturan!$C$10+SUMIFS(Transaksi!$J$6:$J401,Transaksi!$G$6:$G401,Pengaturan!$F$19)-SUMIFS(Transaksi!$K$6:$K401,Transaksi!$G$6:$G401,Pengaturan!$F$19))</f>
        <v/>
      </c>
      <c r="I402" s="36" t="str">
        <f aca="false">IF($B402="","",Pengaturan!$C$11+SUMIFS(Transaksi!$J$6:$J401,Transaksi!$G$6:$G401,Pengaturan!$F$20)-SUMIFS(Transaksi!$K$6:$K401,Transaksi!$G$6:$G401,Pengaturan!$F$20))</f>
        <v/>
      </c>
      <c r="J402" s="41" t="str">
        <f aca="false">IF($B402="","",H402+I402)</f>
        <v/>
      </c>
    </row>
    <row r="403" customFormat="false" ht="15" hidden="false" customHeight="false" outlineLevel="0" collapsed="false">
      <c r="B403" s="38" t="str">
        <f aca="false">IF(Transaksi!C402="","",Transaksi!C402)</f>
        <v/>
      </c>
      <c r="C403" s="39" t="str">
        <f aca="false">IF(Transaksi!C402="","",Transaksi!D402)</f>
        <v/>
      </c>
      <c r="D403" s="40" t="str">
        <f aca="false">IF(Transaksi!C402="","",Transaksi!H402)</f>
        <v/>
      </c>
      <c r="E403" s="39" t="str">
        <f aca="false">IF(Transaksi!C402="","",Transaksi!G402)</f>
        <v/>
      </c>
      <c r="F403" s="36" t="str">
        <f aca="false">IF(Transaksi!C402="","",Transaksi!J402)</f>
        <v/>
      </c>
      <c r="G403" s="36" t="str">
        <f aca="false">IF(Transaksi!C402="","",Transaksi!K402)</f>
        <v/>
      </c>
      <c r="H403" s="36" t="str">
        <f aca="false">IF($B403="","",Pengaturan!$C$10+SUMIFS(Transaksi!$J$6:$J402,Transaksi!$G$6:$G402,Pengaturan!$F$19)-SUMIFS(Transaksi!$K$6:$K402,Transaksi!$G$6:$G402,Pengaturan!$F$19))</f>
        <v/>
      </c>
      <c r="I403" s="36" t="str">
        <f aca="false">IF($B403="","",Pengaturan!$C$11+SUMIFS(Transaksi!$J$6:$J402,Transaksi!$G$6:$G402,Pengaturan!$F$20)-SUMIFS(Transaksi!$K$6:$K402,Transaksi!$G$6:$G402,Pengaturan!$F$20))</f>
        <v/>
      </c>
      <c r="J403" s="41" t="str">
        <f aca="false">IF($B403="","",H403+I403)</f>
        <v/>
      </c>
    </row>
    <row r="404" customFormat="false" ht="15" hidden="false" customHeight="false" outlineLevel="0" collapsed="false">
      <c r="B404" s="38" t="str">
        <f aca="false">IF(Transaksi!C403="","",Transaksi!C403)</f>
        <v/>
      </c>
      <c r="C404" s="39" t="str">
        <f aca="false">IF(Transaksi!C403="","",Transaksi!D403)</f>
        <v/>
      </c>
      <c r="D404" s="40" t="str">
        <f aca="false">IF(Transaksi!C403="","",Transaksi!H403)</f>
        <v/>
      </c>
      <c r="E404" s="39" t="str">
        <f aca="false">IF(Transaksi!C403="","",Transaksi!G403)</f>
        <v/>
      </c>
      <c r="F404" s="36" t="str">
        <f aca="false">IF(Transaksi!C403="","",Transaksi!J403)</f>
        <v/>
      </c>
      <c r="G404" s="36" t="str">
        <f aca="false">IF(Transaksi!C403="","",Transaksi!K403)</f>
        <v/>
      </c>
      <c r="H404" s="36" t="str">
        <f aca="false">IF($B404="","",Pengaturan!$C$10+SUMIFS(Transaksi!$J$6:$J403,Transaksi!$G$6:$G403,Pengaturan!$F$19)-SUMIFS(Transaksi!$K$6:$K403,Transaksi!$G$6:$G403,Pengaturan!$F$19))</f>
        <v/>
      </c>
      <c r="I404" s="36" t="str">
        <f aca="false">IF($B404="","",Pengaturan!$C$11+SUMIFS(Transaksi!$J$6:$J403,Transaksi!$G$6:$G403,Pengaturan!$F$20)-SUMIFS(Transaksi!$K$6:$K403,Transaksi!$G$6:$G403,Pengaturan!$F$20))</f>
        <v/>
      </c>
      <c r="J404" s="41" t="str">
        <f aca="false">IF($B404="","",H404+I404)</f>
        <v/>
      </c>
    </row>
    <row r="405" customFormat="false" ht="15" hidden="false" customHeight="false" outlineLevel="0" collapsed="false">
      <c r="B405" s="38" t="str">
        <f aca="false">IF(Transaksi!C404="","",Transaksi!C404)</f>
        <v/>
      </c>
      <c r="C405" s="39" t="str">
        <f aca="false">IF(Transaksi!C404="","",Transaksi!D404)</f>
        <v/>
      </c>
      <c r="D405" s="40" t="str">
        <f aca="false">IF(Transaksi!C404="","",Transaksi!H404)</f>
        <v/>
      </c>
      <c r="E405" s="39" t="str">
        <f aca="false">IF(Transaksi!C404="","",Transaksi!G404)</f>
        <v/>
      </c>
      <c r="F405" s="36" t="str">
        <f aca="false">IF(Transaksi!C404="","",Transaksi!J404)</f>
        <v/>
      </c>
      <c r="G405" s="36" t="str">
        <f aca="false">IF(Transaksi!C404="","",Transaksi!K404)</f>
        <v/>
      </c>
      <c r="H405" s="36" t="str">
        <f aca="false">IF($B405="","",Pengaturan!$C$10+SUMIFS(Transaksi!$J$6:$J404,Transaksi!$G$6:$G404,Pengaturan!$F$19)-SUMIFS(Transaksi!$K$6:$K404,Transaksi!$G$6:$G404,Pengaturan!$F$19))</f>
        <v/>
      </c>
      <c r="I405" s="36" t="str">
        <f aca="false">IF($B405="","",Pengaturan!$C$11+SUMIFS(Transaksi!$J$6:$J404,Transaksi!$G$6:$G404,Pengaturan!$F$20)-SUMIFS(Transaksi!$K$6:$K404,Transaksi!$G$6:$G404,Pengaturan!$F$20))</f>
        <v/>
      </c>
      <c r="J405" s="41" t="str">
        <f aca="false">IF($B405="","",H405+I405)</f>
        <v/>
      </c>
    </row>
    <row r="406" customFormat="false" ht="15" hidden="false" customHeight="false" outlineLevel="0" collapsed="false">
      <c r="B406" s="38" t="str">
        <f aca="false">IF(Transaksi!C405="","",Transaksi!C405)</f>
        <v/>
      </c>
      <c r="C406" s="39" t="str">
        <f aca="false">IF(Transaksi!C405="","",Transaksi!D405)</f>
        <v/>
      </c>
      <c r="D406" s="40" t="str">
        <f aca="false">IF(Transaksi!C405="","",Transaksi!H405)</f>
        <v/>
      </c>
      <c r="E406" s="39" t="str">
        <f aca="false">IF(Transaksi!C405="","",Transaksi!G405)</f>
        <v/>
      </c>
      <c r="F406" s="36" t="str">
        <f aca="false">IF(Transaksi!C405="","",Transaksi!J405)</f>
        <v/>
      </c>
      <c r="G406" s="36" t="str">
        <f aca="false">IF(Transaksi!C405="","",Transaksi!K405)</f>
        <v/>
      </c>
      <c r="H406" s="36" t="str">
        <f aca="false">IF($B406="","",Pengaturan!$C$10+SUMIFS(Transaksi!$J$6:$J405,Transaksi!$G$6:$G405,Pengaturan!$F$19)-SUMIFS(Transaksi!$K$6:$K405,Transaksi!$G$6:$G405,Pengaturan!$F$19))</f>
        <v/>
      </c>
      <c r="I406" s="36" t="str">
        <f aca="false">IF($B406="","",Pengaturan!$C$11+SUMIFS(Transaksi!$J$6:$J405,Transaksi!$G$6:$G405,Pengaturan!$F$20)-SUMIFS(Transaksi!$K$6:$K405,Transaksi!$G$6:$G405,Pengaturan!$F$20))</f>
        <v/>
      </c>
      <c r="J406" s="41" t="str">
        <f aca="false">IF($B406="","",H406+I406)</f>
        <v/>
      </c>
    </row>
    <row r="407" customFormat="false" ht="15" hidden="false" customHeight="false" outlineLevel="0" collapsed="false">
      <c r="B407" s="38" t="str">
        <f aca="false">IF(Transaksi!C406="","",Transaksi!C406)</f>
        <v/>
      </c>
      <c r="C407" s="39" t="str">
        <f aca="false">IF(Transaksi!C406="","",Transaksi!D406)</f>
        <v/>
      </c>
      <c r="D407" s="40" t="str">
        <f aca="false">IF(Transaksi!C406="","",Transaksi!H406)</f>
        <v/>
      </c>
      <c r="E407" s="39" t="str">
        <f aca="false">IF(Transaksi!C406="","",Transaksi!G406)</f>
        <v/>
      </c>
      <c r="F407" s="36" t="str">
        <f aca="false">IF(Transaksi!C406="","",Transaksi!J406)</f>
        <v/>
      </c>
      <c r="G407" s="36" t="str">
        <f aca="false">IF(Transaksi!C406="","",Transaksi!K406)</f>
        <v/>
      </c>
      <c r="H407" s="36" t="str">
        <f aca="false">IF($B407="","",Pengaturan!$C$10+SUMIFS(Transaksi!$J$6:$J406,Transaksi!$G$6:$G406,Pengaturan!$F$19)-SUMIFS(Transaksi!$K$6:$K406,Transaksi!$G$6:$G406,Pengaturan!$F$19))</f>
        <v/>
      </c>
      <c r="I407" s="36" t="str">
        <f aca="false">IF($B407="","",Pengaturan!$C$11+SUMIFS(Transaksi!$J$6:$J406,Transaksi!$G$6:$G406,Pengaturan!$F$20)-SUMIFS(Transaksi!$K$6:$K406,Transaksi!$G$6:$G406,Pengaturan!$F$20))</f>
        <v/>
      </c>
      <c r="J407" s="41" t="str">
        <f aca="false">IF($B407="","",H407+I407)</f>
        <v/>
      </c>
    </row>
    <row r="408" customFormat="false" ht="15" hidden="false" customHeight="false" outlineLevel="0" collapsed="false">
      <c r="B408" s="38" t="str">
        <f aca="false">IF(Transaksi!C407="","",Transaksi!C407)</f>
        <v/>
      </c>
      <c r="C408" s="39" t="str">
        <f aca="false">IF(Transaksi!C407="","",Transaksi!D407)</f>
        <v/>
      </c>
      <c r="D408" s="40" t="str">
        <f aca="false">IF(Transaksi!C407="","",Transaksi!H407)</f>
        <v/>
      </c>
      <c r="E408" s="39" t="str">
        <f aca="false">IF(Transaksi!C407="","",Transaksi!G407)</f>
        <v/>
      </c>
      <c r="F408" s="36" t="str">
        <f aca="false">IF(Transaksi!C407="","",Transaksi!J407)</f>
        <v/>
      </c>
      <c r="G408" s="36" t="str">
        <f aca="false">IF(Transaksi!C407="","",Transaksi!K407)</f>
        <v/>
      </c>
      <c r="H408" s="36" t="str">
        <f aca="false">IF($B408="","",Pengaturan!$C$10+SUMIFS(Transaksi!$J$6:$J407,Transaksi!$G$6:$G407,Pengaturan!$F$19)-SUMIFS(Transaksi!$K$6:$K407,Transaksi!$G$6:$G407,Pengaturan!$F$19))</f>
        <v/>
      </c>
      <c r="I408" s="36" t="str">
        <f aca="false">IF($B408="","",Pengaturan!$C$11+SUMIFS(Transaksi!$J$6:$J407,Transaksi!$G$6:$G407,Pengaturan!$F$20)-SUMIFS(Transaksi!$K$6:$K407,Transaksi!$G$6:$G407,Pengaturan!$F$20))</f>
        <v/>
      </c>
      <c r="J408" s="41" t="str">
        <f aca="false">IF($B408="","",H408+I408)</f>
        <v/>
      </c>
    </row>
    <row r="409" customFormat="false" ht="15" hidden="false" customHeight="false" outlineLevel="0" collapsed="false">
      <c r="B409" s="38" t="str">
        <f aca="false">IF(Transaksi!C408="","",Transaksi!C408)</f>
        <v/>
      </c>
      <c r="C409" s="39" t="str">
        <f aca="false">IF(Transaksi!C408="","",Transaksi!D408)</f>
        <v/>
      </c>
      <c r="D409" s="40" t="str">
        <f aca="false">IF(Transaksi!C408="","",Transaksi!H408)</f>
        <v/>
      </c>
      <c r="E409" s="39" t="str">
        <f aca="false">IF(Transaksi!C408="","",Transaksi!G408)</f>
        <v/>
      </c>
      <c r="F409" s="36" t="str">
        <f aca="false">IF(Transaksi!C408="","",Transaksi!J408)</f>
        <v/>
      </c>
      <c r="G409" s="36" t="str">
        <f aca="false">IF(Transaksi!C408="","",Transaksi!K408)</f>
        <v/>
      </c>
      <c r="H409" s="36" t="str">
        <f aca="false">IF($B409="","",Pengaturan!$C$10+SUMIFS(Transaksi!$J$6:$J408,Transaksi!$G$6:$G408,Pengaturan!$F$19)-SUMIFS(Transaksi!$K$6:$K408,Transaksi!$G$6:$G408,Pengaturan!$F$19))</f>
        <v/>
      </c>
      <c r="I409" s="36" t="str">
        <f aca="false">IF($B409="","",Pengaturan!$C$11+SUMIFS(Transaksi!$J$6:$J408,Transaksi!$G$6:$G408,Pengaturan!$F$20)-SUMIFS(Transaksi!$K$6:$K408,Transaksi!$G$6:$G408,Pengaturan!$F$20))</f>
        <v/>
      </c>
      <c r="J409" s="41" t="str">
        <f aca="false">IF($B409="","",H409+I409)</f>
        <v/>
      </c>
    </row>
    <row r="410" customFormat="false" ht="15" hidden="false" customHeight="false" outlineLevel="0" collapsed="false">
      <c r="B410" s="38" t="str">
        <f aca="false">IF(Transaksi!C409="","",Transaksi!C409)</f>
        <v/>
      </c>
      <c r="C410" s="39" t="str">
        <f aca="false">IF(Transaksi!C409="","",Transaksi!D409)</f>
        <v/>
      </c>
      <c r="D410" s="40" t="str">
        <f aca="false">IF(Transaksi!C409="","",Transaksi!H409)</f>
        <v/>
      </c>
      <c r="E410" s="39" t="str">
        <f aca="false">IF(Transaksi!C409="","",Transaksi!G409)</f>
        <v/>
      </c>
      <c r="F410" s="36" t="str">
        <f aca="false">IF(Transaksi!C409="","",Transaksi!J409)</f>
        <v/>
      </c>
      <c r="G410" s="36" t="str">
        <f aca="false">IF(Transaksi!C409="","",Transaksi!K409)</f>
        <v/>
      </c>
      <c r="H410" s="36" t="str">
        <f aca="false">IF($B410="","",Pengaturan!$C$10+SUMIFS(Transaksi!$J$6:$J409,Transaksi!$G$6:$G409,Pengaturan!$F$19)-SUMIFS(Transaksi!$K$6:$K409,Transaksi!$G$6:$G409,Pengaturan!$F$19))</f>
        <v/>
      </c>
      <c r="I410" s="36" t="str">
        <f aca="false">IF($B410="","",Pengaturan!$C$11+SUMIFS(Transaksi!$J$6:$J409,Transaksi!$G$6:$G409,Pengaturan!$F$20)-SUMIFS(Transaksi!$K$6:$K409,Transaksi!$G$6:$G409,Pengaturan!$F$20))</f>
        <v/>
      </c>
      <c r="J410" s="41" t="str">
        <f aca="false">IF($B410="","",H410+I410)</f>
        <v/>
      </c>
    </row>
    <row r="411" customFormat="false" ht="15" hidden="false" customHeight="false" outlineLevel="0" collapsed="false">
      <c r="B411" s="38" t="str">
        <f aca="false">IF(Transaksi!C410="","",Transaksi!C410)</f>
        <v/>
      </c>
      <c r="C411" s="39" t="str">
        <f aca="false">IF(Transaksi!C410="","",Transaksi!D410)</f>
        <v/>
      </c>
      <c r="D411" s="40" t="str">
        <f aca="false">IF(Transaksi!C410="","",Transaksi!H410)</f>
        <v/>
      </c>
      <c r="E411" s="39" t="str">
        <f aca="false">IF(Transaksi!C410="","",Transaksi!G410)</f>
        <v/>
      </c>
      <c r="F411" s="36" t="str">
        <f aca="false">IF(Transaksi!C410="","",Transaksi!J410)</f>
        <v/>
      </c>
      <c r="G411" s="36" t="str">
        <f aca="false">IF(Transaksi!C410="","",Transaksi!K410)</f>
        <v/>
      </c>
      <c r="H411" s="36" t="str">
        <f aca="false">IF($B411="","",Pengaturan!$C$10+SUMIFS(Transaksi!$J$6:$J410,Transaksi!$G$6:$G410,Pengaturan!$F$19)-SUMIFS(Transaksi!$K$6:$K410,Transaksi!$G$6:$G410,Pengaturan!$F$19))</f>
        <v/>
      </c>
      <c r="I411" s="36" t="str">
        <f aca="false">IF($B411="","",Pengaturan!$C$11+SUMIFS(Transaksi!$J$6:$J410,Transaksi!$G$6:$G410,Pengaturan!$F$20)-SUMIFS(Transaksi!$K$6:$K410,Transaksi!$G$6:$G410,Pengaturan!$F$20))</f>
        <v/>
      </c>
      <c r="J411" s="41" t="str">
        <f aca="false">IF($B411="","",H411+I411)</f>
        <v/>
      </c>
    </row>
    <row r="412" customFormat="false" ht="15" hidden="false" customHeight="false" outlineLevel="0" collapsed="false">
      <c r="B412" s="38" t="str">
        <f aca="false">IF(Transaksi!C411="","",Transaksi!C411)</f>
        <v/>
      </c>
      <c r="C412" s="39" t="str">
        <f aca="false">IF(Transaksi!C411="","",Transaksi!D411)</f>
        <v/>
      </c>
      <c r="D412" s="40" t="str">
        <f aca="false">IF(Transaksi!C411="","",Transaksi!H411)</f>
        <v/>
      </c>
      <c r="E412" s="39" t="str">
        <f aca="false">IF(Transaksi!C411="","",Transaksi!G411)</f>
        <v/>
      </c>
      <c r="F412" s="36" t="str">
        <f aca="false">IF(Transaksi!C411="","",Transaksi!J411)</f>
        <v/>
      </c>
      <c r="G412" s="36" t="str">
        <f aca="false">IF(Transaksi!C411="","",Transaksi!K411)</f>
        <v/>
      </c>
      <c r="H412" s="36" t="str">
        <f aca="false">IF($B412="","",Pengaturan!$C$10+SUMIFS(Transaksi!$J$6:$J411,Transaksi!$G$6:$G411,Pengaturan!$F$19)-SUMIFS(Transaksi!$K$6:$K411,Transaksi!$G$6:$G411,Pengaturan!$F$19))</f>
        <v/>
      </c>
      <c r="I412" s="36" t="str">
        <f aca="false">IF($B412="","",Pengaturan!$C$11+SUMIFS(Transaksi!$J$6:$J411,Transaksi!$G$6:$G411,Pengaturan!$F$20)-SUMIFS(Transaksi!$K$6:$K411,Transaksi!$G$6:$G411,Pengaturan!$F$20))</f>
        <v/>
      </c>
      <c r="J412" s="41" t="str">
        <f aca="false">IF($B412="","",H412+I412)</f>
        <v/>
      </c>
    </row>
    <row r="413" customFormat="false" ht="15" hidden="false" customHeight="false" outlineLevel="0" collapsed="false">
      <c r="B413" s="38" t="str">
        <f aca="false">IF(Transaksi!C412="","",Transaksi!C412)</f>
        <v/>
      </c>
      <c r="C413" s="39" t="str">
        <f aca="false">IF(Transaksi!C412="","",Transaksi!D412)</f>
        <v/>
      </c>
      <c r="D413" s="40" t="str">
        <f aca="false">IF(Transaksi!C412="","",Transaksi!H412)</f>
        <v/>
      </c>
      <c r="E413" s="39" t="str">
        <f aca="false">IF(Transaksi!C412="","",Transaksi!G412)</f>
        <v/>
      </c>
      <c r="F413" s="36" t="str">
        <f aca="false">IF(Transaksi!C412="","",Transaksi!J412)</f>
        <v/>
      </c>
      <c r="G413" s="36" t="str">
        <f aca="false">IF(Transaksi!C412="","",Transaksi!K412)</f>
        <v/>
      </c>
      <c r="H413" s="36" t="str">
        <f aca="false">IF($B413="","",Pengaturan!$C$10+SUMIFS(Transaksi!$J$6:$J412,Transaksi!$G$6:$G412,Pengaturan!$F$19)-SUMIFS(Transaksi!$K$6:$K412,Transaksi!$G$6:$G412,Pengaturan!$F$19))</f>
        <v/>
      </c>
      <c r="I413" s="36" t="str">
        <f aca="false">IF($B413="","",Pengaturan!$C$11+SUMIFS(Transaksi!$J$6:$J412,Transaksi!$G$6:$G412,Pengaturan!$F$20)-SUMIFS(Transaksi!$K$6:$K412,Transaksi!$G$6:$G412,Pengaturan!$F$20))</f>
        <v/>
      </c>
      <c r="J413" s="41" t="str">
        <f aca="false">IF($B413="","",H413+I413)</f>
        <v/>
      </c>
    </row>
    <row r="414" customFormat="false" ht="15" hidden="false" customHeight="false" outlineLevel="0" collapsed="false">
      <c r="B414" s="38" t="str">
        <f aca="false">IF(Transaksi!C413="","",Transaksi!C413)</f>
        <v/>
      </c>
      <c r="C414" s="39" t="str">
        <f aca="false">IF(Transaksi!C413="","",Transaksi!D413)</f>
        <v/>
      </c>
      <c r="D414" s="40" t="str">
        <f aca="false">IF(Transaksi!C413="","",Transaksi!H413)</f>
        <v/>
      </c>
      <c r="E414" s="39" t="str">
        <f aca="false">IF(Transaksi!C413="","",Transaksi!G413)</f>
        <v/>
      </c>
      <c r="F414" s="36" t="str">
        <f aca="false">IF(Transaksi!C413="","",Transaksi!J413)</f>
        <v/>
      </c>
      <c r="G414" s="36" t="str">
        <f aca="false">IF(Transaksi!C413="","",Transaksi!K413)</f>
        <v/>
      </c>
      <c r="H414" s="36" t="str">
        <f aca="false">IF($B414="","",Pengaturan!$C$10+SUMIFS(Transaksi!$J$6:$J413,Transaksi!$G$6:$G413,Pengaturan!$F$19)-SUMIFS(Transaksi!$K$6:$K413,Transaksi!$G$6:$G413,Pengaturan!$F$19))</f>
        <v/>
      </c>
      <c r="I414" s="36" t="str">
        <f aca="false">IF($B414="","",Pengaturan!$C$11+SUMIFS(Transaksi!$J$6:$J413,Transaksi!$G$6:$G413,Pengaturan!$F$20)-SUMIFS(Transaksi!$K$6:$K413,Transaksi!$G$6:$G413,Pengaturan!$F$20))</f>
        <v/>
      </c>
      <c r="J414" s="41" t="str">
        <f aca="false">IF($B414="","",H414+I414)</f>
        <v/>
      </c>
    </row>
    <row r="415" customFormat="false" ht="15" hidden="false" customHeight="false" outlineLevel="0" collapsed="false">
      <c r="B415" s="38" t="str">
        <f aca="false">IF(Transaksi!C414="","",Transaksi!C414)</f>
        <v/>
      </c>
      <c r="C415" s="39" t="str">
        <f aca="false">IF(Transaksi!C414="","",Transaksi!D414)</f>
        <v/>
      </c>
      <c r="D415" s="40" t="str">
        <f aca="false">IF(Transaksi!C414="","",Transaksi!H414)</f>
        <v/>
      </c>
      <c r="E415" s="39" t="str">
        <f aca="false">IF(Transaksi!C414="","",Transaksi!G414)</f>
        <v/>
      </c>
      <c r="F415" s="36" t="str">
        <f aca="false">IF(Transaksi!C414="","",Transaksi!J414)</f>
        <v/>
      </c>
      <c r="G415" s="36" t="str">
        <f aca="false">IF(Transaksi!C414="","",Transaksi!K414)</f>
        <v/>
      </c>
      <c r="H415" s="36" t="str">
        <f aca="false">IF($B415="","",Pengaturan!$C$10+SUMIFS(Transaksi!$J$6:$J414,Transaksi!$G$6:$G414,Pengaturan!$F$19)-SUMIFS(Transaksi!$K$6:$K414,Transaksi!$G$6:$G414,Pengaturan!$F$19))</f>
        <v/>
      </c>
      <c r="I415" s="36" t="str">
        <f aca="false">IF($B415="","",Pengaturan!$C$11+SUMIFS(Transaksi!$J$6:$J414,Transaksi!$G$6:$G414,Pengaturan!$F$20)-SUMIFS(Transaksi!$K$6:$K414,Transaksi!$G$6:$G414,Pengaturan!$F$20))</f>
        <v/>
      </c>
      <c r="J415" s="41" t="str">
        <f aca="false">IF($B415="","",H415+I415)</f>
        <v/>
      </c>
    </row>
    <row r="416" customFormat="false" ht="15" hidden="false" customHeight="false" outlineLevel="0" collapsed="false">
      <c r="B416" s="38" t="str">
        <f aca="false">IF(Transaksi!C415="","",Transaksi!C415)</f>
        <v/>
      </c>
      <c r="C416" s="39" t="str">
        <f aca="false">IF(Transaksi!C415="","",Transaksi!D415)</f>
        <v/>
      </c>
      <c r="D416" s="40" t="str">
        <f aca="false">IF(Transaksi!C415="","",Transaksi!H415)</f>
        <v/>
      </c>
      <c r="E416" s="39" t="str">
        <f aca="false">IF(Transaksi!C415="","",Transaksi!G415)</f>
        <v/>
      </c>
      <c r="F416" s="36" t="str">
        <f aca="false">IF(Transaksi!C415="","",Transaksi!J415)</f>
        <v/>
      </c>
      <c r="G416" s="36" t="str">
        <f aca="false">IF(Transaksi!C415="","",Transaksi!K415)</f>
        <v/>
      </c>
      <c r="H416" s="36" t="str">
        <f aca="false">IF($B416="","",Pengaturan!$C$10+SUMIFS(Transaksi!$J$6:$J415,Transaksi!$G$6:$G415,Pengaturan!$F$19)-SUMIFS(Transaksi!$K$6:$K415,Transaksi!$G$6:$G415,Pengaturan!$F$19))</f>
        <v/>
      </c>
      <c r="I416" s="36" t="str">
        <f aca="false">IF($B416="","",Pengaturan!$C$11+SUMIFS(Transaksi!$J$6:$J415,Transaksi!$G$6:$G415,Pengaturan!$F$20)-SUMIFS(Transaksi!$K$6:$K415,Transaksi!$G$6:$G415,Pengaturan!$F$20))</f>
        <v/>
      </c>
      <c r="J416" s="41" t="str">
        <f aca="false">IF($B416="","",H416+I416)</f>
        <v/>
      </c>
    </row>
    <row r="417" customFormat="false" ht="15" hidden="false" customHeight="false" outlineLevel="0" collapsed="false">
      <c r="B417" s="38" t="str">
        <f aca="false">IF(Transaksi!C416="","",Transaksi!C416)</f>
        <v/>
      </c>
      <c r="C417" s="39" t="str">
        <f aca="false">IF(Transaksi!C416="","",Transaksi!D416)</f>
        <v/>
      </c>
      <c r="D417" s="40" t="str">
        <f aca="false">IF(Transaksi!C416="","",Transaksi!H416)</f>
        <v/>
      </c>
      <c r="E417" s="39" t="str">
        <f aca="false">IF(Transaksi!C416="","",Transaksi!G416)</f>
        <v/>
      </c>
      <c r="F417" s="36" t="str">
        <f aca="false">IF(Transaksi!C416="","",Transaksi!J416)</f>
        <v/>
      </c>
      <c r="G417" s="36" t="str">
        <f aca="false">IF(Transaksi!C416="","",Transaksi!K416)</f>
        <v/>
      </c>
      <c r="H417" s="36" t="str">
        <f aca="false">IF($B417="","",Pengaturan!$C$10+SUMIFS(Transaksi!$J$6:$J416,Transaksi!$G$6:$G416,Pengaturan!$F$19)-SUMIFS(Transaksi!$K$6:$K416,Transaksi!$G$6:$G416,Pengaturan!$F$19))</f>
        <v/>
      </c>
      <c r="I417" s="36" t="str">
        <f aca="false">IF($B417="","",Pengaturan!$C$11+SUMIFS(Transaksi!$J$6:$J416,Transaksi!$G$6:$G416,Pengaturan!$F$20)-SUMIFS(Transaksi!$K$6:$K416,Transaksi!$G$6:$G416,Pengaturan!$F$20))</f>
        <v/>
      </c>
      <c r="J417" s="41" t="str">
        <f aca="false">IF($B417="","",H417+I417)</f>
        <v/>
      </c>
    </row>
    <row r="418" customFormat="false" ht="15" hidden="false" customHeight="false" outlineLevel="0" collapsed="false">
      <c r="B418" s="38" t="str">
        <f aca="false">IF(Transaksi!C417="","",Transaksi!C417)</f>
        <v/>
      </c>
      <c r="C418" s="39" t="str">
        <f aca="false">IF(Transaksi!C417="","",Transaksi!D417)</f>
        <v/>
      </c>
      <c r="D418" s="40" t="str">
        <f aca="false">IF(Transaksi!C417="","",Transaksi!H417)</f>
        <v/>
      </c>
      <c r="E418" s="39" t="str">
        <f aca="false">IF(Transaksi!C417="","",Transaksi!G417)</f>
        <v/>
      </c>
      <c r="F418" s="36" t="str">
        <f aca="false">IF(Transaksi!C417="","",Transaksi!J417)</f>
        <v/>
      </c>
      <c r="G418" s="36" t="str">
        <f aca="false">IF(Transaksi!C417="","",Transaksi!K417)</f>
        <v/>
      </c>
      <c r="H418" s="36" t="str">
        <f aca="false">IF($B418="","",Pengaturan!$C$10+SUMIFS(Transaksi!$J$6:$J417,Transaksi!$G$6:$G417,Pengaturan!$F$19)-SUMIFS(Transaksi!$K$6:$K417,Transaksi!$G$6:$G417,Pengaturan!$F$19))</f>
        <v/>
      </c>
      <c r="I418" s="36" t="str">
        <f aca="false">IF($B418="","",Pengaturan!$C$11+SUMIFS(Transaksi!$J$6:$J417,Transaksi!$G$6:$G417,Pengaturan!$F$20)-SUMIFS(Transaksi!$K$6:$K417,Transaksi!$G$6:$G417,Pengaturan!$F$20))</f>
        <v/>
      </c>
      <c r="J418" s="41" t="str">
        <f aca="false">IF($B418="","",H418+I418)</f>
        <v/>
      </c>
    </row>
    <row r="419" customFormat="false" ht="15" hidden="false" customHeight="false" outlineLevel="0" collapsed="false">
      <c r="B419" s="38" t="str">
        <f aca="false">IF(Transaksi!C418="","",Transaksi!C418)</f>
        <v/>
      </c>
      <c r="C419" s="39" t="str">
        <f aca="false">IF(Transaksi!C418="","",Transaksi!D418)</f>
        <v/>
      </c>
      <c r="D419" s="40" t="str">
        <f aca="false">IF(Transaksi!C418="","",Transaksi!H418)</f>
        <v/>
      </c>
      <c r="E419" s="39" t="str">
        <f aca="false">IF(Transaksi!C418="","",Transaksi!G418)</f>
        <v/>
      </c>
      <c r="F419" s="36" t="str">
        <f aca="false">IF(Transaksi!C418="","",Transaksi!J418)</f>
        <v/>
      </c>
      <c r="G419" s="36" t="str">
        <f aca="false">IF(Transaksi!C418="","",Transaksi!K418)</f>
        <v/>
      </c>
      <c r="H419" s="36" t="str">
        <f aca="false">IF($B419="","",Pengaturan!$C$10+SUMIFS(Transaksi!$J$6:$J418,Transaksi!$G$6:$G418,Pengaturan!$F$19)-SUMIFS(Transaksi!$K$6:$K418,Transaksi!$G$6:$G418,Pengaturan!$F$19))</f>
        <v/>
      </c>
      <c r="I419" s="36" t="str">
        <f aca="false">IF($B419="","",Pengaturan!$C$11+SUMIFS(Transaksi!$J$6:$J418,Transaksi!$G$6:$G418,Pengaturan!$F$20)-SUMIFS(Transaksi!$K$6:$K418,Transaksi!$G$6:$G418,Pengaturan!$F$20))</f>
        <v/>
      </c>
      <c r="J419" s="41" t="str">
        <f aca="false">IF($B419="","",H419+I419)</f>
        <v/>
      </c>
    </row>
    <row r="420" customFormat="false" ht="15" hidden="false" customHeight="false" outlineLevel="0" collapsed="false">
      <c r="B420" s="38" t="str">
        <f aca="false">IF(Transaksi!C419="","",Transaksi!C419)</f>
        <v/>
      </c>
      <c r="C420" s="39" t="str">
        <f aca="false">IF(Transaksi!C419="","",Transaksi!D419)</f>
        <v/>
      </c>
      <c r="D420" s="40" t="str">
        <f aca="false">IF(Transaksi!C419="","",Transaksi!H419)</f>
        <v/>
      </c>
      <c r="E420" s="39" t="str">
        <f aca="false">IF(Transaksi!C419="","",Transaksi!G419)</f>
        <v/>
      </c>
      <c r="F420" s="36" t="str">
        <f aca="false">IF(Transaksi!C419="","",Transaksi!J419)</f>
        <v/>
      </c>
      <c r="G420" s="36" t="str">
        <f aca="false">IF(Transaksi!C419="","",Transaksi!K419)</f>
        <v/>
      </c>
      <c r="H420" s="36" t="str">
        <f aca="false">IF($B420="","",Pengaturan!$C$10+SUMIFS(Transaksi!$J$6:$J419,Transaksi!$G$6:$G419,Pengaturan!$F$19)-SUMIFS(Transaksi!$K$6:$K419,Transaksi!$G$6:$G419,Pengaturan!$F$19))</f>
        <v/>
      </c>
      <c r="I420" s="36" t="str">
        <f aca="false">IF($B420="","",Pengaturan!$C$11+SUMIFS(Transaksi!$J$6:$J419,Transaksi!$G$6:$G419,Pengaturan!$F$20)-SUMIFS(Transaksi!$K$6:$K419,Transaksi!$G$6:$G419,Pengaturan!$F$20))</f>
        <v/>
      </c>
      <c r="J420" s="41" t="str">
        <f aca="false">IF($B420="","",H420+I420)</f>
        <v/>
      </c>
    </row>
    <row r="421" customFormat="false" ht="15" hidden="false" customHeight="false" outlineLevel="0" collapsed="false">
      <c r="B421" s="38" t="str">
        <f aca="false">IF(Transaksi!C420="","",Transaksi!C420)</f>
        <v/>
      </c>
      <c r="C421" s="39" t="str">
        <f aca="false">IF(Transaksi!C420="","",Transaksi!D420)</f>
        <v/>
      </c>
      <c r="D421" s="40" t="str">
        <f aca="false">IF(Transaksi!C420="","",Transaksi!H420)</f>
        <v/>
      </c>
      <c r="E421" s="39" t="str">
        <f aca="false">IF(Transaksi!C420="","",Transaksi!G420)</f>
        <v/>
      </c>
      <c r="F421" s="36" t="str">
        <f aca="false">IF(Transaksi!C420="","",Transaksi!J420)</f>
        <v/>
      </c>
      <c r="G421" s="36" t="str">
        <f aca="false">IF(Transaksi!C420="","",Transaksi!K420)</f>
        <v/>
      </c>
      <c r="H421" s="36" t="str">
        <f aca="false">IF($B421="","",Pengaturan!$C$10+SUMIFS(Transaksi!$J$6:$J420,Transaksi!$G$6:$G420,Pengaturan!$F$19)-SUMIFS(Transaksi!$K$6:$K420,Transaksi!$G$6:$G420,Pengaturan!$F$19))</f>
        <v/>
      </c>
      <c r="I421" s="36" t="str">
        <f aca="false">IF($B421="","",Pengaturan!$C$11+SUMIFS(Transaksi!$J$6:$J420,Transaksi!$G$6:$G420,Pengaturan!$F$20)-SUMIFS(Transaksi!$K$6:$K420,Transaksi!$G$6:$G420,Pengaturan!$F$20))</f>
        <v/>
      </c>
      <c r="J421" s="41" t="str">
        <f aca="false">IF($B421="","",H421+I421)</f>
        <v/>
      </c>
    </row>
    <row r="422" customFormat="false" ht="15" hidden="false" customHeight="false" outlineLevel="0" collapsed="false">
      <c r="B422" s="38" t="str">
        <f aca="false">IF(Transaksi!C421="","",Transaksi!C421)</f>
        <v/>
      </c>
      <c r="C422" s="39" t="str">
        <f aca="false">IF(Transaksi!C421="","",Transaksi!D421)</f>
        <v/>
      </c>
      <c r="D422" s="40" t="str">
        <f aca="false">IF(Transaksi!C421="","",Transaksi!H421)</f>
        <v/>
      </c>
      <c r="E422" s="39" t="str">
        <f aca="false">IF(Transaksi!C421="","",Transaksi!G421)</f>
        <v/>
      </c>
      <c r="F422" s="36" t="str">
        <f aca="false">IF(Transaksi!C421="","",Transaksi!J421)</f>
        <v/>
      </c>
      <c r="G422" s="36" t="str">
        <f aca="false">IF(Transaksi!C421="","",Transaksi!K421)</f>
        <v/>
      </c>
      <c r="H422" s="36" t="str">
        <f aca="false">IF($B422="","",Pengaturan!$C$10+SUMIFS(Transaksi!$J$6:$J421,Transaksi!$G$6:$G421,Pengaturan!$F$19)-SUMIFS(Transaksi!$K$6:$K421,Transaksi!$G$6:$G421,Pengaturan!$F$19))</f>
        <v/>
      </c>
      <c r="I422" s="36" t="str">
        <f aca="false">IF($B422="","",Pengaturan!$C$11+SUMIFS(Transaksi!$J$6:$J421,Transaksi!$G$6:$G421,Pengaturan!$F$20)-SUMIFS(Transaksi!$K$6:$K421,Transaksi!$G$6:$G421,Pengaturan!$F$20))</f>
        <v/>
      </c>
      <c r="J422" s="41" t="str">
        <f aca="false">IF($B422="","",H422+I422)</f>
        <v/>
      </c>
    </row>
    <row r="423" customFormat="false" ht="15" hidden="false" customHeight="false" outlineLevel="0" collapsed="false">
      <c r="B423" s="38" t="str">
        <f aca="false">IF(Transaksi!C422="","",Transaksi!C422)</f>
        <v/>
      </c>
      <c r="C423" s="39" t="str">
        <f aca="false">IF(Transaksi!C422="","",Transaksi!D422)</f>
        <v/>
      </c>
      <c r="D423" s="40" t="str">
        <f aca="false">IF(Transaksi!C422="","",Transaksi!H422)</f>
        <v/>
      </c>
      <c r="E423" s="39" t="str">
        <f aca="false">IF(Transaksi!C422="","",Transaksi!G422)</f>
        <v/>
      </c>
      <c r="F423" s="36" t="str">
        <f aca="false">IF(Transaksi!C422="","",Transaksi!J422)</f>
        <v/>
      </c>
      <c r="G423" s="36" t="str">
        <f aca="false">IF(Transaksi!C422="","",Transaksi!K422)</f>
        <v/>
      </c>
      <c r="H423" s="36" t="str">
        <f aca="false">IF($B423="","",Pengaturan!$C$10+SUMIFS(Transaksi!$J$6:$J422,Transaksi!$G$6:$G422,Pengaturan!$F$19)-SUMIFS(Transaksi!$K$6:$K422,Transaksi!$G$6:$G422,Pengaturan!$F$19))</f>
        <v/>
      </c>
      <c r="I423" s="36" t="str">
        <f aca="false">IF($B423="","",Pengaturan!$C$11+SUMIFS(Transaksi!$J$6:$J422,Transaksi!$G$6:$G422,Pengaturan!$F$20)-SUMIFS(Transaksi!$K$6:$K422,Transaksi!$G$6:$G422,Pengaturan!$F$20))</f>
        <v/>
      </c>
      <c r="J423" s="41" t="str">
        <f aca="false">IF($B423="","",H423+I423)</f>
        <v/>
      </c>
    </row>
    <row r="424" customFormat="false" ht="15" hidden="false" customHeight="false" outlineLevel="0" collapsed="false">
      <c r="B424" s="38" t="str">
        <f aca="false">IF(Transaksi!C423="","",Transaksi!C423)</f>
        <v/>
      </c>
      <c r="C424" s="39" t="str">
        <f aca="false">IF(Transaksi!C423="","",Transaksi!D423)</f>
        <v/>
      </c>
      <c r="D424" s="40" t="str">
        <f aca="false">IF(Transaksi!C423="","",Transaksi!H423)</f>
        <v/>
      </c>
      <c r="E424" s="39" t="str">
        <f aca="false">IF(Transaksi!C423="","",Transaksi!G423)</f>
        <v/>
      </c>
      <c r="F424" s="36" t="str">
        <f aca="false">IF(Transaksi!C423="","",Transaksi!J423)</f>
        <v/>
      </c>
      <c r="G424" s="36" t="str">
        <f aca="false">IF(Transaksi!C423="","",Transaksi!K423)</f>
        <v/>
      </c>
      <c r="H424" s="36" t="str">
        <f aca="false">IF($B424="","",Pengaturan!$C$10+SUMIFS(Transaksi!$J$6:$J423,Transaksi!$G$6:$G423,Pengaturan!$F$19)-SUMIFS(Transaksi!$K$6:$K423,Transaksi!$G$6:$G423,Pengaturan!$F$19))</f>
        <v/>
      </c>
      <c r="I424" s="36" t="str">
        <f aca="false">IF($B424="","",Pengaturan!$C$11+SUMIFS(Transaksi!$J$6:$J423,Transaksi!$G$6:$G423,Pengaturan!$F$20)-SUMIFS(Transaksi!$K$6:$K423,Transaksi!$G$6:$G423,Pengaturan!$F$20))</f>
        <v/>
      </c>
      <c r="J424" s="41" t="str">
        <f aca="false">IF($B424="","",H424+I424)</f>
        <v/>
      </c>
    </row>
    <row r="425" customFormat="false" ht="15" hidden="false" customHeight="false" outlineLevel="0" collapsed="false">
      <c r="B425" s="38" t="str">
        <f aca="false">IF(Transaksi!C424="","",Transaksi!C424)</f>
        <v/>
      </c>
      <c r="C425" s="39" t="str">
        <f aca="false">IF(Transaksi!C424="","",Transaksi!D424)</f>
        <v/>
      </c>
      <c r="D425" s="40" t="str">
        <f aca="false">IF(Transaksi!C424="","",Transaksi!H424)</f>
        <v/>
      </c>
      <c r="E425" s="39" t="str">
        <f aca="false">IF(Transaksi!C424="","",Transaksi!G424)</f>
        <v/>
      </c>
      <c r="F425" s="36" t="str">
        <f aca="false">IF(Transaksi!C424="","",Transaksi!J424)</f>
        <v/>
      </c>
      <c r="G425" s="36" t="str">
        <f aca="false">IF(Transaksi!C424="","",Transaksi!K424)</f>
        <v/>
      </c>
      <c r="H425" s="36" t="str">
        <f aca="false">IF($B425="","",Pengaturan!$C$10+SUMIFS(Transaksi!$J$6:$J424,Transaksi!$G$6:$G424,Pengaturan!$F$19)-SUMIFS(Transaksi!$K$6:$K424,Transaksi!$G$6:$G424,Pengaturan!$F$19))</f>
        <v/>
      </c>
      <c r="I425" s="36" t="str">
        <f aca="false">IF($B425="","",Pengaturan!$C$11+SUMIFS(Transaksi!$J$6:$J424,Transaksi!$G$6:$G424,Pengaturan!$F$20)-SUMIFS(Transaksi!$K$6:$K424,Transaksi!$G$6:$G424,Pengaturan!$F$20))</f>
        <v/>
      </c>
      <c r="J425" s="41" t="str">
        <f aca="false">IF($B425="","",H425+I425)</f>
        <v/>
      </c>
    </row>
    <row r="426" customFormat="false" ht="15" hidden="false" customHeight="false" outlineLevel="0" collapsed="false">
      <c r="B426" s="38" t="str">
        <f aca="false">IF(Transaksi!C425="","",Transaksi!C425)</f>
        <v/>
      </c>
      <c r="C426" s="39" t="str">
        <f aca="false">IF(Transaksi!C425="","",Transaksi!D425)</f>
        <v/>
      </c>
      <c r="D426" s="40" t="str">
        <f aca="false">IF(Transaksi!C425="","",Transaksi!H425)</f>
        <v/>
      </c>
      <c r="E426" s="39" t="str">
        <f aca="false">IF(Transaksi!C425="","",Transaksi!G425)</f>
        <v/>
      </c>
      <c r="F426" s="36" t="str">
        <f aca="false">IF(Transaksi!C425="","",Transaksi!J425)</f>
        <v/>
      </c>
      <c r="G426" s="36" t="str">
        <f aca="false">IF(Transaksi!C425="","",Transaksi!K425)</f>
        <v/>
      </c>
      <c r="H426" s="36" t="str">
        <f aca="false">IF($B426="","",Pengaturan!$C$10+SUMIFS(Transaksi!$J$6:$J425,Transaksi!$G$6:$G425,Pengaturan!$F$19)-SUMIFS(Transaksi!$K$6:$K425,Transaksi!$G$6:$G425,Pengaturan!$F$19))</f>
        <v/>
      </c>
      <c r="I426" s="36" t="str">
        <f aca="false">IF($B426="","",Pengaturan!$C$11+SUMIFS(Transaksi!$J$6:$J425,Transaksi!$G$6:$G425,Pengaturan!$F$20)-SUMIFS(Transaksi!$K$6:$K425,Transaksi!$G$6:$G425,Pengaturan!$F$20))</f>
        <v/>
      </c>
      <c r="J426" s="41" t="str">
        <f aca="false">IF($B426="","",H426+I426)</f>
        <v/>
      </c>
    </row>
    <row r="427" customFormat="false" ht="15" hidden="false" customHeight="false" outlineLevel="0" collapsed="false">
      <c r="B427" s="38" t="str">
        <f aca="false">IF(Transaksi!C426="","",Transaksi!C426)</f>
        <v/>
      </c>
      <c r="C427" s="39" t="str">
        <f aca="false">IF(Transaksi!C426="","",Transaksi!D426)</f>
        <v/>
      </c>
      <c r="D427" s="40" t="str">
        <f aca="false">IF(Transaksi!C426="","",Transaksi!H426)</f>
        <v/>
      </c>
      <c r="E427" s="39" t="str">
        <f aca="false">IF(Transaksi!C426="","",Transaksi!G426)</f>
        <v/>
      </c>
      <c r="F427" s="36" t="str">
        <f aca="false">IF(Transaksi!C426="","",Transaksi!J426)</f>
        <v/>
      </c>
      <c r="G427" s="36" t="str">
        <f aca="false">IF(Transaksi!C426="","",Transaksi!K426)</f>
        <v/>
      </c>
      <c r="H427" s="36" t="str">
        <f aca="false">IF($B427="","",Pengaturan!$C$10+SUMIFS(Transaksi!$J$6:$J426,Transaksi!$G$6:$G426,Pengaturan!$F$19)-SUMIFS(Transaksi!$K$6:$K426,Transaksi!$G$6:$G426,Pengaturan!$F$19))</f>
        <v/>
      </c>
      <c r="I427" s="36" t="str">
        <f aca="false">IF($B427="","",Pengaturan!$C$11+SUMIFS(Transaksi!$J$6:$J426,Transaksi!$G$6:$G426,Pengaturan!$F$20)-SUMIFS(Transaksi!$K$6:$K426,Transaksi!$G$6:$G426,Pengaturan!$F$20))</f>
        <v/>
      </c>
      <c r="J427" s="41" t="str">
        <f aca="false">IF($B427="","",H427+I427)</f>
        <v/>
      </c>
    </row>
    <row r="428" customFormat="false" ht="15" hidden="false" customHeight="false" outlineLevel="0" collapsed="false">
      <c r="B428" s="38" t="str">
        <f aca="false">IF(Transaksi!C427="","",Transaksi!C427)</f>
        <v/>
      </c>
      <c r="C428" s="39" t="str">
        <f aca="false">IF(Transaksi!C427="","",Transaksi!D427)</f>
        <v/>
      </c>
      <c r="D428" s="40" t="str">
        <f aca="false">IF(Transaksi!C427="","",Transaksi!H427)</f>
        <v/>
      </c>
      <c r="E428" s="39" t="str">
        <f aca="false">IF(Transaksi!C427="","",Transaksi!G427)</f>
        <v/>
      </c>
      <c r="F428" s="36" t="str">
        <f aca="false">IF(Transaksi!C427="","",Transaksi!J427)</f>
        <v/>
      </c>
      <c r="G428" s="36" t="str">
        <f aca="false">IF(Transaksi!C427="","",Transaksi!K427)</f>
        <v/>
      </c>
      <c r="H428" s="36" t="str">
        <f aca="false">IF($B428="","",Pengaturan!$C$10+SUMIFS(Transaksi!$J$6:$J427,Transaksi!$G$6:$G427,Pengaturan!$F$19)-SUMIFS(Transaksi!$K$6:$K427,Transaksi!$G$6:$G427,Pengaturan!$F$19))</f>
        <v/>
      </c>
      <c r="I428" s="36" t="str">
        <f aca="false">IF($B428="","",Pengaturan!$C$11+SUMIFS(Transaksi!$J$6:$J427,Transaksi!$G$6:$G427,Pengaturan!$F$20)-SUMIFS(Transaksi!$K$6:$K427,Transaksi!$G$6:$G427,Pengaturan!$F$20))</f>
        <v/>
      </c>
      <c r="J428" s="41" t="str">
        <f aca="false">IF($B428="","",H428+I428)</f>
        <v/>
      </c>
    </row>
    <row r="429" customFormat="false" ht="15" hidden="false" customHeight="false" outlineLevel="0" collapsed="false">
      <c r="B429" s="38" t="str">
        <f aca="false">IF(Transaksi!C428="","",Transaksi!C428)</f>
        <v/>
      </c>
      <c r="C429" s="39" t="str">
        <f aca="false">IF(Transaksi!C428="","",Transaksi!D428)</f>
        <v/>
      </c>
      <c r="D429" s="40" t="str">
        <f aca="false">IF(Transaksi!C428="","",Transaksi!H428)</f>
        <v/>
      </c>
      <c r="E429" s="39" t="str">
        <f aca="false">IF(Transaksi!C428="","",Transaksi!G428)</f>
        <v/>
      </c>
      <c r="F429" s="36" t="str">
        <f aca="false">IF(Transaksi!C428="","",Transaksi!J428)</f>
        <v/>
      </c>
      <c r="G429" s="36" t="str">
        <f aca="false">IF(Transaksi!C428="","",Transaksi!K428)</f>
        <v/>
      </c>
      <c r="H429" s="36" t="str">
        <f aca="false">IF($B429="","",Pengaturan!$C$10+SUMIFS(Transaksi!$J$6:$J428,Transaksi!$G$6:$G428,Pengaturan!$F$19)-SUMIFS(Transaksi!$K$6:$K428,Transaksi!$G$6:$G428,Pengaturan!$F$19))</f>
        <v/>
      </c>
      <c r="I429" s="36" t="str">
        <f aca="false">IF($B429="","",Pengaturan!$C$11+SUMIFS(Transaksi!$J$6:$J428,Transaksi!$G$6:$G428,Pengaturan!$F$20)-SUMIFS(Transaksi!$K$6:$K428,Transaksi!$G$6:$G428,Pengaturan!$F$20))</f>
        <v/>
      </c>
      <c r="J429" s="41" t="str">
        <f aca="false">IF($B429="","",H429+I429)</f>
        <v/>
      </c>
    </row>
    <row r="430" customFormat="false" ht="15" hidden="false" customHeight="false" outlineLevel="0" collapsed="false">
      <c r="B430" s="38" t="str">
        <f aca="false">IF(Transaksi!C429="","",Transaksi!C429)</f>
        <v/>
      </c>
      <c r="C430" s="39" t="str">
        <f aca="false">IF(Transaksi!C429="","",Transaksi!D429)</f>
        <v/>
      </c>
      <c r="D430" s="40" t="str">
        <f aca="false">IF(Transaksi!C429="","",Transaksi!H429)</f>
        <v/>
      </c>
      <c r="E430" s="39" t="str">
        <f aca="false">IF(Transaksi!C429="","",Transaksi!G429)</f>
        <v/>
      </c>
      <c r="F430" s="36" t="str">
        <f aca="false">IF(Transaksi!C429="","",Transaksi!J429)</f>
        <v/>
      </c>
      <c r="G430" s="36" t="str">
        <f aca="false">IF(Transaksi!C429="","",Transaksi!K429)</f>
        <v/>
      </c>
      <c r="H430" s="36" t="str">
        <f aca="false">IF($B430="","",Pengaturan!$C$10+SUMIFS(Transaksi!$J$6:$J429,Transaksi!$G$6:$G429,Pengaturan!$F$19)-SUMIFS(Transaksi!$K$6:$K429,Transaksi!$G$6:$G429,Pengaturan!$F$19))</f>
        <v/>
      </c>
      <c r="I430" s="36" t="str">
        <f aca="false">IF($B430="","",Pengaturan!$C$11+SUMIFS(Transaksi!$J$6:$J429,Transaksi!$G$6:$G429,Pengaturan!$F$20)-SUMIFS(Transaksi!$K$6:$K429,Transaksi!$G$6:$G429,Pengaturan!$F$20))</f>
        <v/>
      </c>
      <c r="J430" s="41" t="str">
        <f aca="false">IF($B430="","",H430+I430)</f>
        <v/>
      </c>
    </row>
    <row r="431" customFormat="false" ht="15" hidden="false" customHeight="false" outlineLevel="0" collapsed="false">
      <c r="B431" s="38" t="str">
        <f aca="false">IF(Transaksi!C430="","",Transaksi!C430)</f>
        <v/>
      </c>
      <c r="C431" s="39" t="str">
        <f aca="false">IF(Transaksi!C430="","",Transaksi!D430)</f>
        <v/>
      </c>
      <c r="D431" s="40" t="str">
        <f aca="false">IF(Transaksi!C430="","",Transaksi!H430)</f>
        <v/>
      </c>
      <c r="E431" s="39" t="str">
        <f aca="false">IF(Transaksi!C430="","",Transaksi!G430)</f>
        <v/>
      </c>
      <c r="F431" s="36" t="str">
        <f aca="false">IF(Transaksi!C430="","",Transaksi!J430)</f>
        <v/>
      </c>
      <c r="G431" s="36" t="str">
        <f aca="false">IF(Transaksi!C430="","",Transaksi!K430)</f>
        <v/>
      </c>
      <c r="H431" s="36" t="str">
        <f aca="false">IF($B431="","",Pengaturan!$C$10+SUMIFS(Transaksi!$J$6:$J430,Transaksi!$G$6:$G430,Pengaturan!$F$19)-SUMIFS(Transaksi!$K$6:$K430,Transaksi!$G$6:$G430,Pengaturan!$F$19))</f>
        <v/>
      </c>
      <c r="I431" s="36" t="str">
        <f aca="false">IF($B431="","",Pengaturan!$C$11+SUMIFS(Transaksi!$J$6:$J430,Transaksi!$G$6:$G430,Pengaturan!$F$20)-SUMIFS(Transaksi!$K$6:$K430,Transaksi!$G$6:$G430,Pengaturan!$F$20))</f>
        <v/>
      </c>
      <c r="J431" s="41" t="str">
        <f aca="false">IF($B431="","",H431+I431)</f>
        <v/>
      </c>
    </row>
    <row r="432" customFormat="false" ht="15" hidden="false" customHeight="false" outlineLevel="0" collapsed="false">
      <c r="B432" s="38" t="str">
        <f aca="false">IF(Transaksi!C431="","",Transaksi!C431)</f>
        <v/>
      </c>
      <c r="C432" s="39" t="str">
        <f aca="false">IF(Transaksi!C431="","",Transaksi!D431)</f>
        <v/>
      </c>
      <c r="D432" s="40" t="str">
        <f aca="false">IF(Transaksi!C431="","",Transaksi!H431)</f>
        <v/>
      </c>
      <c r="E432" s="39" t="str">
        <f aca="false">IF(Transaksi!C431="","",Transaksi!G431)</f>
        <v/>
      </c>
      <c r="F432" s="36" t="str">
        <f aca="false">IF(Transaksi!C431="","",Transaksi!J431)</f>
        <v/>
      </c>
      <c r="G432" s="36" t="str">
        <f aca="false">IF(Transaksi!C431="","",Transaksi!K431)</f>
        <v/>
      </c>
      <c r="H432" s="36" t="str">
        <f aca="false">IF($B432="","",Pengaturan!$C$10+SUMIFS(Transaksi!$J$6:$J431,Transaksi!$G$6:$G431,Pengaturan!$F$19)-SUMIFS(Transaksi!$K$6:$K431,Transaksi!$G$6:$G431,Pengaturan!$F$19))</f>
        <v/>
      </c>
      <c r="I432" s="36" t="str">
        <f aca="false">IF($B432="","",Pengaturan!$C$11+SUMIFS(Transaksi!$J$6:$J431,Transaksi!$G$6:$G431,Pengaturan!$F$20)-SUMIFS(Transaksi!$K$6:$K431,Transaksi!$G$6:$G431,Pengaturan!$F$20))</f>
        <v/>
      </c>
      <c r="J432" s="41" t="str">
        <f aca="false">IF($B432="","",H432+I432)</f>
        <v/>
      </c>
    </row>
    <row r="433" customFormat="false" ht="15" hidden="false" customHeight="false" outlineLevel="0" collapsed="false">
      <c r="B433" s="38" t="str">
        <f aca="false">IF(Transaksi!C432="","",Transaksi!C432)</f>
        <v/>
      </c>
      <c r="C433" s="39" t="str">
        <f aca="false">IF(Transaksi!C432="","",Transaksi!D432)</f>
        <v/>
      </c>
      <c r="D433" s="40" t="str">
        <f aca="false">IF(Transaksi!C432="","",Transaksi!H432)</f>
        <v/>
      </c>
      <c r="E433" s="39" t="str">
        <f aca="false">IF(Transaksi!C432="","",Transaksi!G432)</f>
        <v/>
      </c>
      <c r="F433" s="36" t="str">
        <f aca="false">IF(Transaksi!C432="","",Transaksi!J432)</f>
        <v/>
      </c>
      <c r="G433" s="36" t="str">
        <f aca="false">IF(Transaksi!C432="","",Transaksi!K432)</f>
        <v/>
      </c>
      <c r="H433" s="36" t="str">
        <f aca="false">IF($B433="","",Pengaturan!$C$10+SUMIFS(Transaksi!$J$6:$J432,Transaksi!$G$6:$G432,Pengaturan!$F$19)-SUMIFS(Transaksi!$K$6:$K432,Transaksi!$G$6:$G432,Pengaturan!$F$19))</f>
        <v/>
      </c>
      <c r="I433" s="36" t="str">
        <f aca="false">IF($B433="","",Pengaturan!$C$11+SUMIFS(Transaksi!$J$6:$J432,Transaksi!$G$6:$G432,Pengaturan!$F$20)-SUMIFS(Transaksi!$K$6:$K432,Transaksi!$G$6:$G432,Pengaturan!$F$20))</f>
        <v/>
      </c>
      <c r="J433" s="41" t="str">
        <f aca="false">IF($B433="","",H433+I433)</f>
        <v/>
      </c>
    </row>
    <row r="434" customFormat="false" ht="15" hidden="false" customHeight="false" outlineLevel="0" collapsed="false">
      <c r="B434" s="38" t="str">
        <f aca="false">IF(Transaksi!C433="","",Transaksi!C433)</f>
        <v/>
      </c>
      <c r="C434" s="39" t="str">
        <f aca="false">IF(Transaksi!C433="","",Transaksi!D433)</f>
        <v/>
      </c>
      <c r="D434" s="40" t="str">
        <f aca="false">IF(Transaksi!C433="","",Transaksi!H433)</f>
        <v/>
      </c>
      <c r="E434" s="39" t="str">
        <f aca="false">IF(Transaksi!C433="","",Transaksi!G433)</f>
        <v/>
      </c>
      <c r="F434" s="36" t="str">
        <f aca="false">IF(Transaksi!C433="","",Transaksi!J433)</f>
        <v/>
      </c>
      <c r="G434" s="36" t="str">
        <f aca="false">IF(Transaksi!C433="","",Transaksi!K433)</f>
        <v/>
      </c>
      <c r="H434" s="36" t="str">
        <f aca="false">IF($B434="","",Pengaturan!$C$10+SUMIFS(Transaksi!$J$6:$J433,Transaksi!$G$6:$G433,Pengaturan!$F$19)-SUMIFS(Transaksi!$K$6:$K433,Transaksi!$G$6:$G433,Pengaturan!$F$19))</f>
        <v/>
      </c>
      <c r="I434" s="36" t="str">
        <f aca="false">IF($B434="","",Pengaturan!$C$11+SUMIFS(Transaksi!$J$6:$J433,Transaksi!$G$6:$G433,Pengaturan!$F$20)-SUMIFS(Transaksi!$K$6:$K433,Transaksi!$G$6:$G433,Pengaturan!$F$20))</f>
        <v/>
      </c>
      <c r="J434" s="41" t="str">
        <f aca="false">IF($B434="","",H434+I434)</f>
        <v/>
      </c>
    </row>
    <row r="435" customFormat="false" ht="15" hidden="false" customHeight="false" outlineLevel="0" collapsed="false">
      <c r="B435" s="38" t="str">
        <f aca="false">IF(Transaksi!C434="","",Transaksi!C434)</f>
        <v/>
      </c>
      <c r="C435" s="39" t="str">
        <f aca="false">IF(Transaksi!C434="","",Transaksi!D434)</f>
        <v/>
      </c>
      <c r="D435" s="40" t="str">
        <f aca="false">IF(Transaksi!C434="","",Transaksi!H434)</f>
        <v/>
      </c>
      <c r="E435" s="39" t="str">
        <f aca="false">IF(Transaksi!C434="","",Transaksi!G434)</f>
        <v/>
      </c>
      <c r="F435" s="36" t="str">
        <f aca="false">IF(Transaksi!C434="","",Transaksi!J434)</f>
        <v/>
      </c>
      <c r="G435" s="36" t="str">
        <f aca="false">IF(Transaksi!C434="","",Transaksi!K434)</f>
        <v/>
      </c>
      <c r="H435" s="36" t="str">
        <f aca="false">IF($B435="","",Pengaturan!$C$10+SUMIFS(Transaksi!$J$6:$J434,Transaksi!$G$6:$G434,Pengaturan!$F$19)-SUMIFS(Transaksi!$K$6:$K434,Transaksi!$G$6:$G434,Pengaturan!$F$19))</f>
        <v/>
      </c>
      <c r="I435" s="36" t="str">
        <f aca="false">IF($B435="","",Pengaturan!$C$11+SUMIFS(Transaksi!$J$6:$J434,Transaksi!$G$6:$G434,Pengaturan!$F$20)-SUMIFS(Transaksi!$K$6:$K434,Transaksi!$G$6:$G434,Pengaturan!$F$20))</f>
        <v/>
      </c>
      <c r="J435" s="41" t="str">
        <f aca="false">IF($B435="","",H435+I435)</f>
        <v/>
      </c>
    </row>
    <row r="436" customFormat="false" ht="15" hidden="false" customHeight="false" outlineLevel="0" collapsed="false">
      <c r="B436" s="38" t="str">
        <f aca="false">IF(Transaksi!C435="","",Transaksi!C435)</f>
        <v/>
      </c>
      <c r="C436" s="39" t="str">
        <f aca="false">IF(Transaksi!C435="","",Transaksi!D435)</f>
        <v/>
      </c>
      <c r="D436" s="40" t="str">
        <f aca="false">IF(Transaksi!C435="","",Transaksi!H435)</f>
        <v/>
      </c>
      <c r="E436" s="39" t="str">
        <f aca="false">IF(Transaksi!C435="","",Transaksi!G435)</f>
        <v/>
      </c>
      <c r="F436" s="36" t="str">
        <f aca="false">IF(Transaksi!C435="","",Transaksi!J435)</f>
        <v/>
      </c>
      <c r="G436" s="36" t="str">
        <f aca="false">IF(Transaksi!C435="","",Transaksi!K435)</f>
        <v/>
      </c>
      <c r="H436" s="36" t="str">
        <f aca="false">IF($B436="","",Pengaturan!$C$10+SUMIFS(Transaksi!$J$6:$J435,Transaksi!$G$6:$G435,Pengaturan!$F$19)-SUMIFS(Transaksi!$K$6:$K435,Transaksi!$G$6:$G435,Pengaturan!$F$19))</f>
        <v/>
      </c>
      <c r="I436" s="36" t="str">
        <f aca="false">IF($B436="","",Pengaturan!$C$11+SUMIFS(Transaksi!$J$6:$J435,Transaksi!$G$6:$G435,Pengaturan!$F$20)-SUMIFS(Transaksi!$K$6:$K435,Transaksi!$G$6:$G435,Pengaturan!$F$20))</f>
        <v/>
      </c>
      <c r="J436" s="41" t="str">
        <f aca="false">IF($B436="","",H436+I436)</f>
        <v/>
      </c>
    </row>
    <row r="437" customFormat="false" ht="15" hidden="false" customHeight="false" outlineLevel="0" collapsed="false">
      <c r="B437" s="38" t="str">
        <f aca="false">IF(Transaksi!C436="","",Transaksi!C436)</f>
        <v/>
      </c>
      <c r="C437" s="39" t="str">
        <f aca="false">IF(Transaksi!C436="","",Transaksi!D436)</f>
        <v/>
      </c>
      <c r="D437" s="40" t="str">
        <f aca="false">IF(Transaksi!C436="","",Transaksi!H436)</f>
        <v/>
      </c>
      <c r="E437" s="39" t="str">
        <f aca="false">IF(Transaksi!C436="","",Transaksi!G436)</f>
        <v/>
      </c>
      <c r="F437" s="36" t="str">
        <f aca="false">IF(Transaksi!C436="","",Transaksi!J436)</f>
        <v/>
      </c>
      <c r="G437" s="36" t="str">
        <f aca="false">IF(Transaksi!C436="","",Transaksi!K436)</f>
        <v/>
      </c>
      <c r="H437" s="36" t="str">
        <f aca="false">IF($B437="","",Pengaturan!$C$10+SUMIFS(Transaksi!$J$6:$J436,Transaksi!$G$6:$G436,Pengaturan!$F$19)-SUMIFS(Transaksi!$K$6:$K436,Transaksi!$G$6:$G436,Pengaturan!$F$19))</f>
        <v/>
      </c>
      <c r="I437" s="36" t="str">
        <f aca="false">IF($B437="","",Pengaturan!$C$11+SUMIFS(Transaksi!$J$6:$J436,Transaksi!$G$6:$G436,Pengaturan!$F$20)-SUMIFS(Transaksi!$K$6:$K436,Transaksi!$G$6:$G436,Pengaturan!$F$20))</f>
        <v/>
      </c>
      <c r="J437" s="41" t="str">
        <f aca="false">IF($B437="","",H437+I437)</f>
        <v/>
      </c>
    </row>
    <row r="438" customFormat="false" ht="15" hidden="false" customHeight="false" outlineLevel="0" collapsed="false">
      <c r="B438" s="38" t="str">
        <f aca="false">IF(Transaksi!C437="","",Transaksi!C437)</f>
        <v/>
      </c>
      <c r="C438" s="39" t="str">
        <f aca="false">IF(Transaksi!C437="","",Transaksi!D437)</f>
        <v/>
      </c>
      <c r="D438" s="40" t="str">
        <f aca="false">IF(Transaksi!C437="","",Transaksi!H437)</f>
        <v/>
      </c>
      <c r="E438" s="39" t="str">
        <f aca="false">IF(Transaksi!C437="","",Transaksi!G437)</f>
        <v/>
      </c>
      <c r="F438" s="36" t="str">
        <f aca="false">IF(Transaksi!C437="","",Transaksi!J437)</f>
        <v/>
      </c>
      <c r="G438" s="36" t="str">
        <f aca="false">IF(Transaksi!C437="","",Transaksi!K437)</f>
        <v/>
      </c>
      <c r="H438" s="36" t="str">
        <f aca="false">IF($B438="","",Pengaturan!$C$10+SUMIFS(Transaksi!$J$6:$J437,Transaksi!$G$6:$G437,Pengaturan!$F$19)-SUMIFS(Transaksi!$K$6:$K437,Transaksi!$G$6:$G437,Pengaturan!$F$19))</f>
        <v/>
      </c>
      <c r="I438" s="36" t="str">
        <f aca="false">IF($B438="","",Pengaturan!$C$11+SUMIFS(Transaksi!$J$6:$J437,Transaksi!$G$6:$G437,Pengaturan!$F$20)-SUMIFS(Transaksi!$K$6:$K437,Transaksi!$G$6:$G437,Pengaturan!$F$20))</f>
        <v/>
      </c>
      <c r="J438" s="41" t="str">
        <f aca="false">IF($B438="","",H438+I438)</f>
        <v/>
      </c>
    </row>
    <row r="439" customFormat="false" ht="15" hidden="false" customHeight="false" outlineLevel="0" collapsed="false">
      <c r="B439" s="38" t="str">
        <f aca="false">IF(Transaksi!C438="","",Transaksi!C438)</f>
        <v/>
      </c>
      <c r="C439" s="39" t="str">
        <f aca="false">IF(Transaksi!C438="","",Transaksi!D438)</f>
        <v/>
      </c>
      <c r="D439" s="40" t="str">
        <f aca="false">IF(Transaksi!C438="","",Transaksi!H438)</f>
        <v/>
      </c>
      <c r="E439" s="39" t="str">
        <f aca="false">IF(Transaksi!C438="","",Transaksi!G438)</f>
        <v/>
      </c>
      <c r="F439" s="36" t="str">
        <f aca="false">IF(Transaksi!C438="","",Transaksi!J438)</f>
        <v/>
      </c>
      <c r="G439" s="36" t="str">
        <f aca="false">IF(Transaksi!C438="","",Transaksi!K438)</f>
        <v/>
      </c>
      <c r="H439" s="36" t="str">
        <f aca="false">IF($B439="","",Pengaturan!$C$10+SUMIFS(Transaksi!$J$6:$J438,Transaksi!$G$6:$G438,Pengaturan!$F$19)-SUMIFS(Transaksi!$K$6:$K438,Transaksi!$G$6:$G438,Pengaturan!$F$19))</f>
        <v/>
      </c>
      <c r="I439" s="36" t="str">
        <f aca="false">IF($B439="","",Pengaturan!$C$11+SUMIFS(Transaksi!$J$6:$J438,Transaksi!$G$6:$G438,Pengaturan!$F$20)-SUMIFS(Transaksi!$K$6:$K438,Transaksi!$G$6:$G438,Pengaturan!$F$20))</f>
        <v/>
      </c>
      <c r="J439" s="41" t="str">
        <f aca="false">IF($B439="","",H439+I439)</f>
        <v/>
      </c>
    </row>
    <row r="440" customFormat="false" ht="15" hidden="false" customHeight="false" outlineLevel="0" collapsed="false">
      <c r="B440" s="38" t="str">
        <f aca="false">IF(Transaksi!C439="","",Transaksi!C439)</f>
        <v/>
      </c>
      <c r="C440" s="39" t="str">
        <f aca="false">IF(Transaksi!C439="","",Transaksi!D439)</f>
        <v/>
      </c>
      <c r="D440" s="40" t="str">
        <f aca="false">IF(Transaksi!C439="","",Transaksi!H439)</f>
        <v/>
      </c>
      <c r="E440" s="39" t="str">
        <f aca="false">IF(Transaksi!C439="","",Transaksi!G439)</f>
        <v/>
      </c>
      <c r="F440" s="36" t="str">
        <f aca="false">IF(Transaksi!C439="","",Transaksi!J439)</f>
        <v/>
      </c>
      <c r="G440" s="36" t="str">
        <f aca="false">IF(Transaksi!C439="","",Transaksi!K439)</f>
        <v/>
      </c>
      <c r="H440" s="36" t="str">
        <f aca="false">IF($B440="","",Pengaturan!$C$10+SUMIFS(Transaksi!$J$6:$J439,Transaksi!$G$6:$G439,Pengaturan!$F$19)-SUMIFS(Transaksi!$K$6:$K439,Transaksi!$G$6:$G439,Pengaturan!$F$19))</f>
        <v/>
      </c>
      <c r="I440" s="36" t="str">
        <f aca="false">IF($B440="","",Pengaturan!$C$11+SUMIFS(Transaksi!$J$6:$J439,Transaksi!$G$6:$G439,Pengaturan!$F$20)-SUMIFS(Transaksi!$K$6:$K439,Transaksi!$G$6:$G439,Pengaturan!$F$20))</f>
        <v/>
      </c>
      <c r="J440" s="41" t="str">
        <f aca="false">IF($B440="","",H440+I440)</f>
        <v/>
      </c>
    </row>
    <row r="441" customFormat="false" ht="15" hidden="false" customHeight="false" outlineLevel="0" collapsed="false">
      <c r="B441" s="38" t="str">
        <f aca="false">IF(Transaksi!C440="","",Transaksi!C440)</f>
        <v/>
      </c>
      <c r="C441" s="39" t="str">
        <f aca="false">IF(Transaksi!C440="","",Transaksi!D440)</f>
        <v/>
      </c>
      <c r="D441" s="40" t="str">
        <f aca="false">IF(Transaksi!C440="","",Transaksi!H440)</f>
        <v/>
      </c>
      <c r="E441" s="39" t="str">
        <f aca="false">IF(Transaksi!C440="","",Transaksi!G440)</f>
        <v/>
      </c>
      <c r="F441" s="36" t="str">
        <f aca="false">IF(Transaksi!C440="","",Transaksi!J440)</f>
        <v/>
      </c>
      <c r="G441" s="36" t="str">
        <f aca="false">IF(Transaksi!C440="","",Transaksi!K440)</f>
        <v/>
      </c>
      <c r="H441" s="36" t="str">
        <f aca="false">IF($B441="","",Pengaturan!$C$10+SUMIFS(Transaksi!$J$6:$J440,Transaksi!$G$6:$G440,Pengaturan!$F$19)-SUMIFS(Transaksi!$K$6:$K440,Transaksi!$G$6:$G440,Pengaturan!$F$19))</f>
        <v/>
      </c>
      <c r="I441" s="36" t="str">
        <f aca="false">IF($B441="","",Pengaturan!$C$11+SUMIFS(Transaksi!$J$6:$J440,Transaksi!$G$6:$G440,Pengaturan!$F$20)-SUMIFS(Transaksi!$K$6:$K440,Transaksi!$G$6:$G440,Pengaturan!$F$20))</f>
        <v/>
      </c>
      <c r="J441" s="41" t="str">
        <f aca="false">IF($B441="","",H441+I441)</f>
        <v/>
      </c>
    </row>
    <row r="442" customFormat="false" ht="15" hidden="false" customHeight="false" outlineLevel="0" collapsed="false">
      <c r="B442" s="38" t="str">
        <f aca="false">IF(Transaksi!C441="","",Transaksi!C441)</f>
        <v/>
      </c>
      <c r="C442" s="39" t="str">
        <f aca="false">IF(Transaksi!C441="","",Transaksi!D441)</f>
        <v/>
      </c>
      <c r="D442" s="40" t="str">
        <f aca="false">IF(Transaksi!C441="","",Transaksi!H441)</f>
        <v/>
      </c>
      <c r="E442" s="39" t="str">
        <f aca="false">IF(Transaksi!C441="","",Transaksi!G441)</f>
        <v/>
      </c>
      <c r="F442" s="36" t="str">
        <f aca="false">IF(Transaksi!C441="","",Transaksi!J441)</f>
        <v/>
      </c>
      <c r="G442" s="36" t="str">
        <f aca="false">IF(Transaksi!C441="","",Transaksi!K441)</f>
        <v/>
      </c>
      <c r="H442" s="36" t="str">
        <f aca="false">IF($B442="","",Pengaturan!$C$10+SUMIFS(Transaksi!$J$6:$J441,Transaksi!$G$6:$G441,Pengaturan!$F$19)-SUMIFS(Transaksi!$K$6:$K441,Transaksi!$G$6:$G441,Pengaturan!$F$19))</f>
        <v/>
      </c>
      <c r="I442" s="36" t="str">
        <f aca="false">IF($B442="","",Pengaturan!$C$11+SUMIFS(Transaksi!$J$6:$J441,Transaksi!$G$6:$G441,Pengaturan!$F$20)-SUMIFS(Transaksi!$K$6:$K441,Transaksi!$G$6:$G441,Pengaturan!$F$20))</f>
        <v/>
      </c>
      <c r="J442" s="41" t="str">
        <f aca="false">IF($B442="","",H442+I442)</f>
        <v/>
      </c>
    </row>
    <row r="443" customFormat="false" ht="15" hidden="false" customHeight="false" outlineLevel="0" collapsed="false">
      <c r="B443" s="38" t="str">
        <f aca="false">IF(Transaksi!C442="","",Transaksi!C442)</f>
        <v/>
      </c>
      <c r="C443" s="39" t="str">
        <f aca="false">IF(Transaksi!C442="","",Transaksi!D442)</f>
        <v/>
      </c>
      <c r="D443" s="40" t="str">
        <f aca="false">IF(Transaksi!C442="","",Transaksi!H442)</f>
        <v/>
      </c>
      <c r="E443" s="39" t="str">
        <f aca="false">IF(Transaksi!C442="","",Transaksi!G442)</f>
        <v/>
      </c>
      <c r="F443" s="36" t="str">
        <f aca="false">IF(Transaksi!C442="","",Transaksi!J442)</f>
        <v/>
      </c>
      <c r="G443" s="36" t="str">
        <f aca="false">IF(Transaksi!C442="","",Transaksi!K442)</f>
        <v/>
      </c>
      <c r="H443" s="36" t="str">
        <f aca="false">IF($B443="","",Pengaturan!$C$10+SUMIFS(Transaksi!$J$6:$J442,Transaksi!$G$6:$G442,Pengaturan!$F$19)-SUMIFS(Transaksi!$K$6:$K442,Transaksi!$G$6:$G442,Pengaturan!$F$19))</f>
        <v/>
      </c>
      <c r="I443" s="36" t="str">
        <f aca="false">IF($B443="","",Pengaturan!$C$11+SUMIFS(Transaksi!$J$6:$J442,Transaksi!$G$6:$G442,Pengaturan!$F$20)-SUMIFS(Transaksi!$K$6:$K442,Transaksi!$G$6:$G442,Pengaturan!$F$20))</f>
        <v/>
      </c>
      <c r="J443" s="41" t="str">
        <f aca="false">IF($B443="","",H443+I443)</f>
        <v/>
      </c>
    </row>
    <row r="444" customFormat="false" ht="15" hidden="false" customHeight="false" outlineLevel="0" collapsed="false">
      <c r="B444" s="38" t="str">
        <f aca="false">IF(Transaksi!C443="","",Transaksi!C443)</f>
        <v/>
      </c>
      <c r="C444" s="39" t="str">
        <f aca="false">IF(Transaksi!C443="","",Transaksi!D443)</f>
        <v/>
      </c>
      <c r="D444" s="40" t="str">
        <f aca="false">IF(Transaksi!C443="","",Transaksi!H443)</f>
        <v/>
      </c>
      <c r="E444" s="39" t="str">
        <f aca="false">IF(Transaksi!C443="","",Transaksi!G443)</f>
        <v/>
      </c>
      <c r="F444" s="36" t="str">
        <f aca="false">IF(Transaksi!C443="","",Transaksi!J443)</f>
        <v/>
      </c>
      <c r="G444" s="36" t="str">
        <f aca="false">IF(Transaksi!C443="","",Transaksi!K443)</f>
        <v/>
      </c>
      <c r="H444" s="36" t="str">
        <f aca="false">IF($B444="","",Pengaturan!$C$10+SUMIFS(Transaksi!$J$6:$J443,Transaksi!$G$6:$G443,Pengaturan!$F$19)-SUMIFS(Transaksi!$K$6:$K443,Transaksi!$G$6:$G443,Pengaturan!$F$19))</f>
        <v/>
      </c>
      <c r="I444" s="36" t="str">
        <f aca="false">IF($B444="","",Pengaturan!$C$11+SUMIFS(Transaksi!$J$6:$J443,Transaksi!$G$6:$G443,Pengaturan!$F$20)-SUMIFS(Transaksi!$K$6:$K443,Transaksi!$G$6:$G443,Pengaturan!$F$20))</f>
        <v/>
      </c>
      <c r="J444" s="41" t="str">
        <f aca="false">IF($B444="","",H444+I444)</f>
        <v/>
      </c>
    </row>
    <row r="445" customFormat="false" ht="15" hidden="false" customHeight="false" outlineLevel="0" collapsed="false">
      <c r="B445" s="38" t="str">
        <f aca="false">IF(Transaksi!C444="","",Transaksi!C444)</f>
        <v/>
      </c>
      <c r="C445" s="39" t="str">
        <f aca="false">IF(Transaksi!C444="","",Transaksi!D444)</f>
        <v/>
      </c>
      <c r="D445" s="40" t="str">
        <f aca="false">IF(Transaksi!C444="","",Transaksi!H444)</f>
        <v/>
      </c>
      <c r="E445" s="39" t="str">
        <f aca="false">IF(Transaksi!C444="","",Transaksi!G444)</f>
        <v/>
      </c>
      <c r="F445" s="36" t="str">
        <f aca="false">IF(Transaksi!C444="","",Transaksi!J444)</f>
        <v/>
      </c>
      <c r="G445" s="36" t="str">
        <f aca="false">IF(Transaksi!C444="","",Transaksi!K444)</f>
        <v/>
      </c>
      <c r="H445" s="36" t="str">
        <f aca="false">IF($B445="","",Pengaturan!$C$10+SUMIFS(Transaksi!$J$6:$J444,Transaksi!$G$6:$G444,Pengaturan!$F$19)-SUMIFS(Transaksi!$K$6:$K444,Transaksi!$G$6:$G444,Pengaturan!$F$19))</f>
        <v/>
      </c>
      <c r="I445" s="36" t="str">
        <f aca="false">IF($B445="","",Pengaturan!$C$11+SUMIFS(Transaksi!$J$6:$J444,Transaksi!$G$6:$G444,Pengaturan!$F$20)-SUMIFS(Transaksi!$K$6:$K444,Transaksi!$G$6:$G444,Pengaturan!$F$20))</f>
        <v/>
      </c>
      <c r="J445" s="41" t="str">
        <f aca="false">IF($B445="","",H445+I445)</f>
        <v/>
      </c>
    </row>
    <row r="446" customFormat="false" ht="15" hidden="false" customHeight="false" outlineLevel="0" collapsed="false">
      <c r="B446" s="38" t="str">
        <f aca="false">IF(Transaksi!C445="","",Transaksi!C445)</f>
        <v/>
      </c>
      <c r="C446" s="39" t="str">
        <f aca="false">IF(Transaksi!C445="","",Transaksi!D445)</f>
        <v/>
      </c>
      <c r="D446" s="40" t="str">
        <f aca="false">IF(Transaksi!C445="","",Transaksi!H445)</f>
        <v/>
      </c>
      <c r="E446" s="39" t="str">
        <f aca="false">IF(Transaksi!C445="","",Transaksi!G445)</f>
        <v/>
      </c>
      <c r="F446" s="36" t="str">
        <f aca="false">IF(Transaksi!C445="","",Transaksi!J445)</f>
        <v/>
      </c>
      <c r="G446" s="36" t="str">
        <f aca="false">IF(Transaksi!C445="","",Transaksi!K445)</f>
        <v/>
      </c>
      <c r="H446" s="36" t="str">
        <f aca="false">IF($B446="","",Pengaturan!$C$10+SUMIFS(Transaksi!$J$6:$J445,Transaksi!$G$6:$G445,Pengaturan!$F$19)-SUMIFS(Transaksi!$K$6:$K445,Transaksi!$G$6:$G445,Pengaturan!$F$19))</f>
        <v/>
      </c>
      <c r="I446" s="36" t="str">
        <f aca="false">IF($B446="","",Pengaturan!$C$11+SUMIFS(Transaksi!$J$6:$J445,Transaksi!$G$6:$G445,Pengaturan!$F$20)-SUMIFS(Transaksi!$K$6:$K445,Transaksi!$G$6:$G445,Pengaturan!$F$20))</f>
        <v/>
      </c>
      <c r="J446" s="41" t="str">
        <f aca="false">IF($B446="","",H446+I446)</f>
        <v/>
      </c>
    </row>
    <row r="447" customFormat="false" ht="15" hidden="false" customHeight="false" outlineLevel="0" collapsed="false">
      <c r="B447" s="38" t="str">
        <f aca="false">IF(Transaksi!C446="","",Transaksi!C446)</f>
        <v/>
      </c>
      <c r="C447" s="39" t="str">
        <f aca="false">IF(Transaksi!C446="","",Transaksi!D446)</f>
        <v/>
      </c>
      <c r="D447" s="40" t="str">
        <f aca="false">IF(Transaksi!C446="","",Transaksi!H446)</f>
        <v/>
      </c>
      <c r="E447" s="39" t="str">
        <f aca="false">IF(Transaksi!C446="","",Transaksi!G446)</f>
        <v/>
      </c>
      <c r="F447" s="36" t="str">
        <f aca="false">IF(Transaksi!C446="","",Transaksi!J446)</f>
        <v/>
      </c>
      <c r="G447" s="36" t="str">
        <f aca="false">IF(Transaksi!C446="","",Transaksi!K446)</f>
        <v/>
      </c>
      <c r="H447" s="36" t="str">
        <f aca="false">IF($B447="","",Pengaturan!$C$10+SUMIFS(Transaksi!$J$6:$J446,Transaksi!$G$6:$G446,Pengaturan!$F$19)-SUMIFS(Transaksi!$K$6:$K446,Transaksi!$G$6:$G446,Pengaturan!$F$19))</f>
        <v/>
      </c>
      <c r="I447" s="36" t="str">
        <f aca="false">IF($B447="","",Pengaturan!$C$11+SUMIFS(Transaksi!$J$6:$J446,Transaksi!$G$6:$G446,Pengaturan!$F$20)-SUMIFS(Transaksi!$K$6:$K446,Transaksi!$G$6:$G446,Pengaturan!$F$20))</f>
        <v/>
      </c>
      <c r="J447" s="41" t="str">
        <f aca="false">IF($B447="","",H447+I447)</f>
        <v/>
      </c>
    </row>
    <row r="448" customFormat="false" ht="15" hidden="false" customHeight="false" outlineLevel="0" collapsed="false">
      <c r="B448" s="38" t="str">
        <f aca="false">IF(Transaksi!C447="","",Transaksi!C447)</f>
        <v/>
      </c>
      <c r="C448" s="39" t="str">
        <f aca="false">IF(Transaksi!C447="","",Transaksi!D447)</f>
        <v/>
      </c>
      <c r="D448" s="40" t="str">
        <f aca="false">IF(Transaksi!C447="","",Transaksi!H447)</f>
        <v/>
      </c>
      <c r="E448" s="39" t="str">
        <f aca="false">IF(Transaksi!C447="","",Transaksi!G447)</f>
        <v/>
      </c>
      <c r="F448" s="36" t="str">
        <f aca="false">IF(Transaksi!C447="","",Transaksi!J447)</f>
        <v/>
      </c>
      <c r="G448" s="36" t="str">
        <f aca="false">IF(Transaksi!C447="","",Transaksi!K447)</f>
        <v/>
      </c>
      <c r="H448" s="36" t="str">
        <f aca="false">IF($B448="","",Pengaturan!$C$10+SUMIFS(Transaksi!$J$6:$J447,Transaksi!$G$6:$G447,Pengaturan!$F$19)-SUMIFS(Transaksi!$K$6:$K447,Transaksi!$G$6:$G447,Pengaturan!$F$19))</f>
        <v/>
      </c>
      <c r="I448" s="36" t="str">
        <f aca="false">IF($B448="","",Pengaturan!$C$11+SUMIFS(Transaksi!$J$6:$J447,Transaksi!$G$6:$G447,Pengaturan!$F$20)-SUMIFS(Transaksi!$K$6:$K447,Transaksi!$G$6:$G447,Pengaturan!$F$20))</f>
        <v/>
      </c>
      <c r="J448" s="41" t="str">
        <f aca="false">IF($B448="","",H448+I448)</f>
        <v/>
      </c>
    </row>
    <row r="449" customFormat="false" ht="15" hidden="false" customHeight="false" outlineLevel="0" collapsed="false">
      <c r="B449" s="38" t="str">
        <f aca="false">IF(Transaksi!C448="","",Transaksi!C448)</f>
        <v/>
      </c>
      <c r="C449" s="39" t="str">
        <f aca="false">IF(Transaksi!C448="","",Transaksi!D448)</f>
        <v/>
      </c>
      <c r="D449" s="40" t="str">
        <f aca="false">IF(Transaksi!C448="","",Transaksi!H448)</f>
        <v/>
      </c>
      <c r="E449" s="39" t="str">
        <f aca="false">IF(Transaksi!C448="","",Transaksi!G448)</f>
        <v/>
      </c>
      <c r="F449" s="36" t="str">
        <f aca="false">IF(Transaksi!C448="","",Transaksi!J448)</f>
        <v/>
      </c>
      <c r="G449" s="36" t="str">
        <f aca="false">IF(Transaksi!C448="","",Transaksi!K448)</f>
        <v/>
      </c>
      <c r="H449" s="36" t="str">
        <f aca="false">IF($B449="","",Pengaturan!$C$10+SUMIFS(Transaksi!$J$6:$J448,Transaksi!$G$6:$G448,Pengaturan!$F$19)-SUMIFS(Transaksi!$K$6:$K448,Transaksi!$G$6:$G448,Pengaturan!$F$19))</f>
        <v/>
      </c>
      <c r="I449" s="36" t="str">
        <f aca="false">IF($B449="","",Pengaturan!$C$11+SUMIFS(Transaksi!$J$6:$J448,Transaksi!$G$6:$G448,Pengaturan!$F$20)-SUMIFS(Transaksi!$K$6:$K448,Transaksi!$G$6:$G448,Pengaturan!$F$20))</f>
        <v/>
      </c>
      <c r="J449" s="41" t="str">
        <f aca="false">IF($B449="","",H449+I449)</f>
        <v/>
      </c>
    </row>
    <row r="450" customFormat="false" ht="15" hidden="false" customHeight="false" outlineLevel="0" collapsed="false">
      <c r="B450" s="38" t="str">
        <f aca="false">IF(Transaksi!C449="","",Transaksi!C449)</f>
        <v/>
      </c>
      <c r="C450" s="39" t="str">
        <f aca="false">IF(Transaksi!C449="","",Transaksi!D449)</f>
        <v/>
      </c>
      <c r="D450" s="40" t="str">
        <f aca="false">IF(Transaksi!C449="","",Transaksi!H449)</f>
        <v/>
      </c>
      <c r="E450" s="39" t="str">
        <f aca="false">IF(Transaksi!C449="","",Transaksi!G449)</f>
        <v/>
      </c>
      <c r="F450" s="36" t="str">
        <f aca="false">IF(Transaksi!C449="","",Transaksi!J449)</f>
        <v/>
      </c>
      <c r="G450" s="36" t="str">
        <f aca="false">IF(Transaksi!C449="","",Transaksi!K449)</f>
        <v/>
      </c>
      <c r="H450" s="36" t="str">
        <f aca="false">IF($B450="","",Pengaturan!$C$10+SUMIFS(Transaksi!$J$6:$J449,Transaksi!$G$6:$G449,Pengaturan!$F$19)-SUMIFS(Transaksi!$K$6:$K449,Transaksi!$G$6:$G449,Pengaturan!$F$19))</f>
        <v/>
      </c>
      <c r="I450" s="36" t="str">
        <f aca="false">IF($B450="","",Pengaturan!$C$11+SUMIFS(Transaksi!$J$6:$J449,Transaksi!$G$6:$G449,Pengaturan!$F$20)-SUMIFS(Transaksi!$K$6:$K449,Transaksi!$G$6:$G449,Pengaturan!$F$20))</f>
        <v/>
      </c>
      <c r="J450" s="41" t="str">
        <f aca="false">IF($B450="","",H450+I450)</f>
        <v/>
      </c>
    </row>
    <row r="451" customFormat="false" ht="15" hidden="false" customHeight="false" outlineLevel="0" collapsed="false">
      <c r="B451" s="38" t="str">
        <f aca="false">IF(Transaksi!C450="","",Transaksi!C450)</f>
        <v/>
      </c>
      <c r="C451" s="39" t="str">
        <f aca="false">IF(Transaksi!C450="","",Transaksi!D450)</f>
        <v/>
      </c>
      <c r="D451" s="40" t="str">
        <f aca="false">IF(Transaksi!C450="","",Transaksi!H450)</f>
        <v/>
      </c>
      <c r="E451" s="39" t="str">
        <f aca="false">IF(Transaksi!C450="","",Transaksi!G450)</f>
        <v/>
      </c>
      <c r="F451" s="36" t="str">
        <f aca="false">IF(Transaksi!C450="","",Transaksi!J450)</f>
        <v/>
      </c>
      <c r="G451" s="36" t="str">
        <f aca="false">IF(Transaksi!C450="","",Transaksi!K450)</f>
        <v/>
      </c>
      <c r="H451" s="36" t="str">
        <f aca="false">IF($B451="","",Pengaturan!$C$10+SUMIFS(Transaksi!$J$6:$J450,Transaksi!$G$6:$G450,Pengaturan!$F$19)-SUMIFS(Transaksi!$K$6:$K450,Transaksi!$G$6:$G450,Pengaturan!$F$19))</f>
        <v/>
      </c>
      <c r="I451" s="36" t="str">
        <f aca="false">IF($B451="","",Pengaturan!$C$11+SUMIFS(Transaksi!$J$6:$J450,Transaksi!$G$6:$G450,Pengaturan!$F$20)-SUMIFS(Transaksi!$K$6:$K450,Transaksi!$G$6:$G450,Pengaturan!$F$20))</f>
        <v/>
      </c>
      <c r="J451" s="41" t="str">
        <f aca="false">IF($B451="","",H451+I451)</f>
        <v/>
      </c>
    </row>
    <row r="452" customFormat="false" ht="15" hidden="false" customHeight="false" outlineLevel="0" collapsed="false">
      <c r="B452" s="38" t="str">
        <f aca="false">IF(Transaksi!C451="","",Transaksi!C451)</f>
        <v/>
      </c>
      <c r="C452" s="39" t="str">
        <f aca="false">IF(Transaksi!C451="","",Transaksi!D451)</f>
        <v/>
      </c>
      <c r="D452" s="40" t="str">
        <f aca="false">IF(Transaksi!C451="","",Transaksi!H451)</f>
        <v/>
      </c>
      <c r="E452" s="39" t="str">
        <f aca="false">IF(Transaksi!C451="","",Transaksi!G451)</f>
        <v/>
      </c>
      <c r="F452" s="36" t="str">
        <f aca="false">IF(Transaksi!C451="","",Transaksi!J451)</f>
        <v/>
      </c>
      <c r="G452" s="36" t="str">
        <f aca="false">IF(Transaksi!C451="","",Transaksi!K451)</f>
        <v/>
      </c>
      <c r="H452" s="36" t="str">
        <f aca="false">IF($B452="","",Pengaturan!$C$10+SUMIFS(Transaksi!$J$6:$J451,Transaksi!$G$6:$G451,Pengaturan!$F$19)-SUMIFS(Transaksi!$K$6:$K451,Transaksi!$G$6:$G451,Pengaturan!$F$19))</f>
        <v/>
      </c>
      <c r="I452" s="36" t="str">
        <f aca="false">IF($B452="","",Pengaturan!$C$11+SUMIFS(Transaksi!$J$6:$J451,Transaksi!$G$6:$G451,Pengaturan!$F$20)-SUMIFS(Transaksi!$K$6:$K451,Transaksi!$G$6:$G451,Pengaturan!$F$20))</f>
        <v/>
      </c>
      <c r="J452" s="41" t="str">
        <f aca="false">IF($B452="","",H452+I452)</f>
        <v/>
      </c>
    </row>
    <row r="453" customFormat="false" ht="15" hidden="false" customHeight="false" outlineLevel="0" collapsed="false">
      <c r="B453" s="38" t="str">
        <f aca="false">IF(Transaksi!C452="","",Transaksi!C452)</f>
        <v/>
      </c>
      <c r="C453" s="39" t="str">
        <f aca="false">IF(Transaksi!C452="","",Transaksi!D452)</f>
        <v/>
      </c>
      <c r="D453" s="40" t="str">
        <f aca="false">IF(Transaksi!C452="","",Transaksi!H452)</f>
        <v/>
      </c>
      <c r="E453" s="39" t="str">
        <f aca="false">IF(Transaksi!C452="","",Transaksi!G452)</f>
        <v/>
      </c>
      <c r="F453" s="36" t="str">
        <f aca="false">IF(Transaksi!C452="","",Transaksi!J452)</f>
        <v/>
      </c>
      <c r="G453" s="36" t="str">
        <f aca="false">IF(Transaksi!C452="","",Transaksi!K452)</f>
        <v/>
      </c>
      <c r="H453" s="36" t="str">
        <f aca="false">IF($B453="","",Pengaturan!$C$10+SUMIFS(Transaksi!$J$6:$J452,Transaksi!$G$6:$G452,Pengaturan!$F$19)-SUMIFS(Transaksi!$K$6:$K452,Transaksi!$G$6:$G452,Pengaturan!$F$19))</f>
        <v/>
      </c>
      <c r="I453" s="36" t="str">
        <f aca="false">IF($B453="","",Pengaturan!$C$11+SUMIFS(Transaksi!$J$6:$J452,Transaksi!$G$6:$G452,Pengaturan!$F$20)-SUMIFS(Transaksi!$K$6:$K452,Transaksi!$G$6:$G452,Pengaturan!$F$20))</f>
        <v/>
      </c>
      <c r="J453" s="41" t="str">
        <f aca="false">IF($B453="","",H453+I453)</f>
        <v/>
      </c>
    </row>
    <row r="454" customFormat="false" ht="15" hidden="false" customHeight="false" outlineLevel="0" collapsed="false">
      <c r="B454" s="38" t="str">
        <f aca="false">IF(Transaksi!C453="","",Transaksi!C453)</f>
        <v/>
      </c>
      <c r="C454" s="39" t="str">
        <f aca="false">IF(Transaksi!C453="","",Transaksi!D453)</f>
        <v/>
      </c>
      <c r="D454" s="40" t="str">
        <f aca="false">IF(Transaksi!C453="","",Transaksi!H453)</f>
        <v/>
      </c>
      <c r="E454" s="39" t="str">
        <f aca="false">IF(Transaksi!C453="","",Transaksi!G453)</f>
        <v/>
      </c>
      <c r="F454" s="36" t="str">
        <f aca="false">IF(Transaksi!C453="","",Transaksi!J453)</f>
        <v/>
      </c>
      <c r="G454" s="36" t="str">
        <f aca="false">IF(Transaksi!C453="","",Transaksi!K453)</f>
        <v/>
      </c>
      <c r="H454" s="36" t="str">
        <f aca="false">IF($B454="","",Pengaturan!$C$10+SUMIFS(Transaksi!$J$6:$J453,Transaksi!$G$6:$G453,Pengaturan!$F$19)-SUMIFS(Transaksi!$K$6:$K453,Transaksi!$G$6:$G453,Pengaturan!$F$19))</f>
        <v/>
      </c>
      <c r="I454" s="36" t="str">
        <f aca="false">IF($B454="","",Pengaturan!$C$11+SUMIFS(Transaksi!$J$6:$J453,Transaksi!$G$6:$G453,Pengaturan!$F$20)-SUMIFS(Transaksi!$K$6:$K453,Transaksi!$G$6:$G453,Pengaturan!$F$20))</f>
        <v/>
      </c>
      <c r="J454" s="41" t="str">
        <f aca="false">IF($B454="","",H454+I454)</f>
        <v/>
      </c>
    </row>
    <row r="455" customFormat="false" ht="15" hidden="false" customHeight="false" outlineLevel="0" collapsed="false">
      <c r="B455" s="38" t="str">
        <f aca="false">IF(Transaksi!C454="","",Transaksi!C454)</f>
        <v/>
      </c>
      <c r="C455" s="39" t="str">
        <f aca="false">IF(Transaksi!C454="","",Transaksi!D454)</f>
        <v/>
      </c>
      <c r="D455" s="40" t="str">
        <f aca="false">IF(Transaksi!C454="","",Transaksi!H454)</f>
        <v/>
      </c>
      <c r="E455" s="39" t="str">
        <f aca="false">IF(Transaksi!C454="","",Transaksi!G454)</f>
        <v/>
      </c>
      <c r="F455" s="36" t="str">
        <f aca="false">IF(Transaksi!C454="","",Transaksi!J454)</f>
        <v/>
      </c>
      <c r="G455" s="36" t="str">
        <f aca="false">IF(Transaksi!C454="","",Transaksi!K454)</f>
        <v/>
      </c>
      <c r="H455" s="36" t="str">
        <f aca="false">IF($B455="","",Pengaturan!$C$10+SUMIFS(Transaksi!$J$6:$J454,Transaksi!$G$6:$G454,Pengaturan!$F$19)-SUMIFS(Transaksi!$K$6:$K454,Transaksi!$G$6:$G454,Pengaturan!$F$19))</f>
        <v/>
      </c>
      <c r="I455" s="36" t="str">
        <f aca="false">IF($B455="","",Pengaturan!$C$11+SUMIFS(Transaksi!$J$6:$J454,Transaksi!$G$6:$G454,Pengaturan!$F$20)-SUMIFS(Transaksi!$K$6:$K454,Transaksi!$G$6:$G454,Pengaturan!$F$20))</f>
        <v/>
      </c>
      <c r="J455" s="41" t="str">
        <f aca="false">IF($B455="","",H455+I455)</f>
        <v/>
      </c>
    </row>
    <row r="456" customFormat="false" ht="15" hidden="false" customHeight="false" outlineLevel="0" collapsed="false">
      <c r="B456" s="38" t="str">
        <f aca="false">IF(Transaksi!C455="","",Transaksi!C455)</f>
        <v/>
      </c>
      <c r="C456" s="39" t="str">
        <f aca="false">IF(Transaksi!C455="","",Transaksi!D455)</f>
        <v/>
      </c>
      <c r="D456" s="40" t="str">
        <f aca="false">IF(Transaksi!C455="","",Transaksi!H455)</f>
        <v/>
      </c>
      <c r="E456" s="39" t="str">
        <f aca="false">IF(Transaksi!C455="","",Transaksi!G455)</f>
        <v/>
      </c>
      <c r="F456" s="36" t="str">
        <f aca="false">IF(Transaksi!C455="","",Transaksi!J455)</f>
        <v/>
      </c>
      <c r="G456" s="36" t="str">
        <f aca="false">IF(Transaksi!C455="","",Transaksi!K455)</f>
        <v/>
      </c>
      <c r="H456" s="36" t="str">
        <f aca="false">IF($B456="","",Pengaturan!$C$10+SUMIFS(Transaksi!$J$6:$J455,Transaksi!$G$6:$G455,Pengaturan!$F$19)-SUMIFS(Transaksi!$K$6:$K455,Transaksi!$G$6:$G455,Pengaturan!$F$19))</f>
        <v/>
      </c>
      <c r="I456" s="36" t="str">
        <f aca="false">IF($B456="","",Pengaturan!$C$11+SUMIFS(Transaksi!$J$6:$J455,Transaksi!$G$6:$G455,Pengaturan!$F$20)-SUMIFS(Transaksi!$K$6:$K455,Transaksi!$G$6:$G455,Pengaturan!$F$20))</f>
        <v/>
      </c>
      <c r="J456" s="41" t="str">
        <f aca="false">IF($B456="","",H456+I456)</f>
        <v/>
      </c>
    </row>
    <row r="457" customFormat="false" ht="15" hidden="false" customHeight="false" outlineLevel="0" collapsed="false">
      <c r="B457" s="38" t="str">
        <f aca="false">IF(Transaksi!C456="","",Transaksi!C456)</f>
        <v/>
      </c>
      <c r="C457" s="39" t="str">
        <f aca="false">IF(Transaksi!C456="","",Transaksi!D456)</f>
        <v/>
      </c>
      <c r="D457" s="40" t="str">
        <f aca="false">IF(Transaksi!C456="","",Transaksi!H456)</f>
        <v/>
      </c>
      <c r="E457" s="39" t="str">
        <f aca="false">IF(Transaksi!C456="","",Transaksi!G456)</f>
        <v/>
      </c>
      <c r="F457" s="36" t="str">
        <f aca="false">IF(Transaksi!C456="","",Transaksi!J456)</f>
        <v/>
      </c>
      <c r="G457" s="36" t="str">
        <f aca="false">IF(Transaksi!C456="","",Transaksi!K456)</f>
        <v/>
      </c>
      <c r="H457" s="36" t="str">
        <f aca="false">IF($B457="","",Pengaturan!$C$10+SUMIFS(Transaksi!$J$6:$J456,Transaksi!$G$6:$G456,Pengaturan!$F$19)-SUMIFS(Transaksi!$K$6:$K456,Transaksi!$G$6:$G456,Pengaturan!$F$19))</f>
        <v/>
      </c>
      <c r="I457" s="36" t="str">
        <f aca="false">IF($B457="","",Pengaturan!$C$11+SUMIFS(Transaksi!$J$6:$J456,Transaksi!$G$6:$G456,Pengaturan!$F$20)-SUMIFS(Transaksi!$K$6:$K456,Transaksi!$G$6:$G456,Pengaturan!$F$20))</f>
        <v/>
      </c>
      <c r="J457" s="41" t="str">
        <f aca="false">IF($B457="","",H457+I457)</f>
        <v/>
      </c>
    </row>
    <row r="458" customFormat="false" ht="15" hidden="false" customHeight="false" outlineLevel="0" collapsed="false">
      <c r="B458" s="38" t="str">
        <f aca="false">IF(Transaksi!C457="","",Transaksi!C457)</f>
        <v/>
      </c>
      <c r="C458" s="39" t="str">
        <f aca="false">IF(Transaksi!C457="","",Transaksi!D457)</f>
        <v/>
      </c>
      <c r="D458" s="40" t="str">
        <f aca="false">IF(Transaksi!C457="","",Transaksi!H457)</f>
        <v/>
      </c>
      <c r="E458" s="39" t="str">
        <f aca="false">IF(Transaksi!C457="","",Transaksi!G457)</f>
        <v/>
      </c>
      <c r="F458" s="36" t="str">
        <f aca="false">IF(Transaksi!C457="","",Transaksi!J457)</f>
        <v/>
      </c>
      <c r="G458" s="36" t="str">
        <f aca="false">IF(Transaksi!C457="","",Transaksi!K457)</f>
        <v/>
      </c>
      <c r="H458" s="36" t="str">
        <f aca="false">IF($B458="","",Pengaturan!$C$10+SUMIFS(Transaksi!$J$6:$J457,Transaksi!$G$6:$G457,Pengaturan!$F$19)-SUMIFS(Transaksi!$K$6:$K457,Transaksi!$G$6:$G457,Pengaturan!$F$19))</f>
        <v/>
      </c>
      <c r="I458" s="36" t="str">
        <f aca="false">IF($B458="","",Pengaturan!$C$11+SUMIFS(Transaksi!$J$6:$J457,Transaksi!$G$6:$G457,Pengaturan!$F$20)-SUMIFS(Transaksi!$K$6:$K457,Transaksi!$G$6:$G457,Pengaturan!$F$20))</f>
        <v/>
      </c>
      <c r="J458" s="41" t="str">
        <f aca="false">IF($B458="","",H458+I458)</f>
        <v/>
      </c>
    </row>
    <row r="459" customFormat="false" ht="15" hidden="false" customHeight="false" outlineLevel="0" collapsed="false">
      <c r="B459" s="38" t="str">
        <f aca="false">IF(Transaksi!C458="","",Transaksi!C458)</f>
        <v/>
      </c>
      <c r="C459" s="39" t="str">
        <f aca="false">IF(Transaksi!C458="","",Transaksi!D458)</f>
        <v/>
      </c>
      <c r="D459" s="40" t="str">
        <f aca="false">IF(Transaksi!C458="","",Transaksi!H458)</f>
        <v/>
      </c>
      <c r="E459" s="39" t="str">
        <f aca="false">IF(Transaksi!C458="","",Transaksi!G458)</f>
        <v/>
      </c>
      <c r="F459" s="36" t="str">
        <f aca="false">IF(Transaksi!C458="","",Transaksi!J458)</f>
        <v/>
      </c>
      <c r="G459" s="36" t="str">
        <f aca="false">IF(Transaksi!C458="","",Transaksi!K458)</f>
        <v/>
      </c>
      <c r="H459" s="36" t="str">
        <f aca="false">IF($B459="","",Pengaturan!$C$10+SUMIFS(Transaksi!$J$6:$J458,Transaksi!$G$6:$G458,Pengaturan!$F$19)-SUMIFS(Transaksi!$K$6:$K458,Transaksi!$G$6:$G458,Pengaturan!$F$19))</f>
        <v/>
      </c>
      <c r="I459" s="36" t="str">
        <f aca="false">IF($B459="","",Pengaturan!$C$11+SUMIFS(Transaksi!$J$6:$J458,Transaksi!$G$6:$G458,Pengaturan!$F$20)-SUMIFS(Transaksi!$K$6:$K458,Transaksi!$G$6:$G458,Pengaturan!$F$20))</f>
        <v/>
      </c>
      <c r="J459" s="41" t="str">
        <f aca="false">IF($B459="","",H459+I459)</f>
        <v/>
      </c>
    </row>
    <row r="460" customFormat="false" ht="15" hidden="false" customHeight="false" outlineLevel="0" collapsed="false">
      <c r="B460" s="38" t="str">
        <f aca="false">IF(Transaksi!C459="","",Transaksi!C459)</f>
        <v/>
      </c>
      <c r="C460" s="39" t="str">
        <f aca="false">IF(Transaksi!C459="","",Transaksi!D459)</f>
        <v/>
      </c>
      <c r="D460" s="40" t="str">
        <f aca="false">IF(Transaksi!C459="","",Transaksi!H459)</f>
        <v/>
      </c>
      <c r="E460" s="39" t="str">
        <f aca="false">IF(Transaksi!C459="","",Transaksi!G459)</f>
        <v/>
      </c>
      <c r="F460" s="36" t="str">
        <f aca="false">IF(Transaksi!C459="","",Transaksi!J459)</f>
        <v/>
      </c>
      <c r="G460" s="36" t="str">
        <f aca="false">IF(Transaksi!C459="","",Transaksi!K459)</f>
        <v/>
      </c>
      <c r="H460" s="36" t="str">
        <f aca="false">IF($B460="","",Pengaturan!$C$10+SUMIFS(Transaksi!$J$6:$J459,Transaksi!$G$6:$G459,Pengaturan!$F$19)-SUMIFS(Transaksi!$K$6:$K459,Transaksi!$G$6:$G459,Pengaturan!$F$19))</f>
        <v/>
      </c>
      <c r="I460" s="36" t="str">
        <f aca="false">IF($B460="","",Pengaturan!$C$11+SUMIFS(Transaksi!$J$6:$J459,Transaksi!$G$6:$G459,Pengaturan!$F$20)-SUMIFS(Transaksi!$K$6:$K459,Transaksi!$G$6:$G459,Pengaturan!$F$20))</f>
        <v/>
      </c>
      <c r="J460" s="41" t="str">
        <f aca="false">IF($B460="","",H460+I460)</f>
        <v/>
      </c>
    </row>
    <row r="461" customFormat="false" ht="15" hidden="false" customHeight="false" outlineLevel="0" collapsed="false">
      <c r="B461" s="38" t="str">
        <f aca="false">IF(Transaksi!C460="","",Transaksi!C460)</f>
        <v/>
      </c>
      <c r="C461" s="39" t="str">
        <f aca="false">IF(Transaksi!C460="","",Transaksi!D460)</f>
        <v/>
      </c>
      <c r="D461" s="40" t="str">
        <f aca="false">IF(Transaksi!C460="","",Transaksi!H460)</f>
        <v/>
      </c>
      <c r="E461" s="39" t="str">
        <f aca="false">IF(Transaksi!C460="","",Transaksi!G460)</f>
        <v/>
      </c>
      <c r="F461" s="36" t="str">
        <f aca="false">IF(Transaksi!C460="","",Transaksi!J460)</f>
        <v/>
      </c>
      <c r="G461" s="36" t="str">
        <f aca="false">IF(Transaksi!C460="","",Transaksi!K460)</f>
        <v/>
      </c>
      <c r="H461" s="36" t="str">
        <f aca="false">IF($B461="","",Pengaturan!$C$10+SUMIFS(Transaksi!$J$6:$J460,Transaksi!$G$6:$G460,Pengaturan!$F$19)-SUMIFS(Transaksi!$K$6:$K460,Transaksi!$G$6:$G460,Pengaturan!$F$19))</f>
        <v/>
      </c>
      <c r="I461" s="36" t="str">
        <f aca="false">IF($B461="","",Pengaturan!$C$11+SUMIFS(Transaksi!$J$6:$J460,Transaksi!$G$6:$G460,Pengaturan!$F$20)-SUMIFS(Transaksi!$K$6:$K460,Transaksi!$G$6:$G460,Pengaturan!$F$20))</f>
        <v/>
      </c>
      <c r="J461" s="41" t="str">
        <f aca="false">IF($B461="","",H461+I461)</f>
        <v/>
      </c>
    </row>
    <row r="462" customFormat="false" ht="15" hidden="false" customHeight="false" outlineLevel="0" collapsed="false">
      <c r="B462" s="38" t="str">
        <f aca="false">IF(Transaksi!C461="","",Transaksi!C461)</f>
        <v/>
      </c>
      <c r="C462" s="39" t="str">
        <f aca="false">IF(Transaksi!C461="","",Transaksi!D461)</f>
        <v/>
      </c>
      <c r="D462" s="40" t="str">
        <f aca="false">IF(Transaksi!C461="","",Transaksi!H461)</f>
        <v/>
      </c>
      <c r="E462" s="39" t="str">
        <f aca="false">IF(Transaksi!C461="","",Transaksi!G461)</f>
        <v/>
      </c>
      <c r="F462" s="36" t="str">
        <f aca="false">IF(Transaksi!C461="","",Transaksi!J461)</f>
        <v/>
      </c>
      <c r="G462" s="36" t="str">
        <f aca="false">IF(Transaksi!C461="","",Transaksi!K461)</f>
        <v/>
      </c>
      <c r="H462" s="36" t="str">
        <f aca="false">IF($B462="","",Pengaturan!$C$10+SUMIFS(Transaksi!$J$6:$J461,Transaksi!$G$6:$G461,Pengaturan!$F$19)-SUMIFS(Transaksi!$K$6:$K461,Transaksi!$G$6:$G461,Pengaturan!$F$19))</f>
        <v/>
      </c>
      <c r="I462" s="36" t="str">
        <f aca="false">IF($B462="","",Pengaturan!$C$11+SUMIFS(Transaksi!$J$6:$J461,Transaksi!$G$6:$G461,Pengaturan!$F$20)-SUMIFS(Transaksi!$K$6:$K461,Transaksi!$G$6:$G461,Pengaturan!$F$20))</f>
        <v/>
      </c>
      <c r="J462" s="41" t="str">
        <f aca="false">IF($B462="","",H462+I462)</f>
        <v/>
      </c>
    </row>
    <row r="463" customFormat="false" ht="15" hidden="false" customHeight="false" outlineLevel="0" collapsed="false">
      <c r="B463" s="38" t="str">
        <f aca="false">IF(Transaksi!C462="","",Transaksi!C462)</f>
        <v/>
      </c>
      <c r="C463" s="39" t="str">
        <f aca="false">IF(Transaksi!C462="","",Transaksi!D462)</f>
        <v/>
      </c>
      <c r="D463" s="40" t="str">
        <f aca="false">IF(Transaksi!C462="","",Transaksi!H462)</f>
        <v/>
      </c>
      <c r="E463" s="39" t="str">
        <f aca="false">IF(Transaksi!C462="","",Transaksi!G462)</f>
        <v/>
      </c>
      <c r="F463" s="36" t="str">
        <f aca="false">IF(Transaksi!C462="","",Transaksi!J462)</f>
        <v/>
      </c>
      <c r="G463" s="36" t="str">
        <f aca="false">IF(Transaksi!C462="","",Transaksi!K462)</f>
        <v/>
      </c>
      <c r="H463" s="36" t="str">
        <f aca="false">IF($B463="","",Pengaturan!$C$10+SUMIFS(Transaksi!$J$6:$J462,Transaksi!$G$6:$G462,Pengaturan!$F$19)-SUMIFS(Transaksi!$K$6:$K462,Transaksi!$G$6:$G462,Pengaturan!$F$19))</f>
        <v/>
      </c>
      <c r="I463" s="36" t="str">
        <f aca="false">IF($B463="","",Pengaturan!$C$11+SUMIFS(Transaksi!$J$6:$J462,Transaksi!$G$6:$G462,Pengaturan!$F$20)-SUMIFS(Transaksi!$K$6:$K462,Transaksi!$G$6:$G462,Pengaturan!$F$20))</f>
        <v/>
      </c>
      <c r="J463" s="41" t="str">
        <f aca="false">IF($B463="","",H463+I463)</f>
        <v/>
      </c>
    </row>
    <row r="464" customFormat="false" ht="15" hidden="false" customHeight="false" outlineLevel="0" collapsed="false">
      <c r="B464" s="38" t="str">
        <f aca="false">IF(Transaksi!C463="","",Transaksi!C463)</f>
        <v/>
      </c>
      <c r="C464" s="39" t="str">
        <f aca="false">IF(Transaksi!C463="","",Transaksi!D463)</f>
        <v/>
      </c>
      <c r="D464" s="40" t="str">
        <f aca="false">IF(Transaksi!C463="","",Transaksi!H463)</f>
        <v/>
      </c>
      <c r="E464" s="39" t="str">
        <f aca="false">IF(Transaksi!C463="","",Transaksi!G463)</f>
        <v/>
      </c>
      <c r="F464" s="36" t="str">
        <f aca="false">IF(Transaksi!C463="","",Transaksi!J463)</f>
        <v/>
      </c>
      <c r="G464" s="36" t="str">
        <f aca="false">IF(Transaksi!C463="","",Transaksi!K463)</f>
        <v/>
      </c>
      <c r="H464" s="36" t="str">
        <f aca="false">IF($B464="","",Pengaturan!$C$10+SUMIFS(Transaksi!$J$6:$J463,Transaksi!$G$6:$G463,Pengaturan!$F$19)-SUMIFS(Transaksi!$K$6:$K463,Transaksi!$G$6:$G463,Pengaturan!$F$19))</f>
        <v/>
      </c>
      <c r="I464" s="36" t="str">
        <f aca="false">IF($B464="","",Pengaturan!$C$11+SUMIFS(Transaksi!$J$6:$J463,Transaksi!$G$6:$G463,Pengaturan!$F$20)-SUMIFS(Transaksi!$K$6:$K463,Transaksi!$G$6:$G463,Pengaturan!$F$20))</f>
        <v/>
      </c>
      <c r="J464" s="41" t="str">
        <f aca="false">IF($B464="","",H464+I464)</f>
        <v/>
      </c>
    </row>
    <row r="465" customFormat="false" ht="15" hidden="false" customHeight="false" outlineLevel="0" collapsed="false">
      <c r="B465" s="38" t="str">
        <f aca="false">IF(Transaksi!C464="","",Transaksi!C464)</f>
        <v/>
      </c>
      <c r="C465" s="39" t="str">
        <f aca="false">IF(Transaksi!C464="","",Transaksi!D464)</f>
        <v/>
      </c>
      <c r="D465" s="40" t="str">
        <f aca="false">IF(Transaksi!C464="","",Transaksi!H464)</f>
        <v/>
      </c>
      <c r="E465" s="39" t="str">
        <f aca="false">IF(Transaksi!C464="","",Transaksi!G464)</f>
        <v/>
      </c>
      <c r="F465" s="36" t="str">
        <f aca="false">IF(Transaksi!C464="","",Transaksi!J464)</f>
        <v/>
      </c>
      <c r="G465" s="36" t="str">
        <f aca="false">IF(Transaksi!C464="","",Transaksi!K464)</f>
        <v/>
      </c>
      <c r="H465" s="36" t="str">
        <f aca="false">IF($B465="","",Pengaturan!$C$10+SUMIFS(Transaksi!$J$6:$J464,Transaksi!$G$6:$G464,Pengaturan!$F$19)-SUMIFS(Transaksi!$K$6:$K464,Transaksi!$G$6:$G464,Pengaturan!$F$19))</f>
        <v/>
      </c>
      <c r="I465" s="36" t="str">
        <f aca="false">IF($B465="","",Pengaturan!$C$11+SUMIFS(Transaksi!$J$6:$J464,Transaksi!$G$6:$G464,Pengaturan!$F$20)-SUMIFS(Transaksi!$K$6:$K464,Transaksi!$G$6:$G464,Pengaturan!$F$20))</f>
        <v/>
      </c>
      <c r="J465" s="41" t="str">
        <f aca="false">IF($B465="","",H465+I465)</f>
        <v/>
      </c>
    </row>
    <row r="466" customFormat="false" ht="15" hidden="false" customHeight="false" outlineLevel="0" collapsed="false">
      <c r="B466" s="38" t="str">
        <f aca="false">IF(Transaksi!C465="","",Transaksi!C465)</f>
        <v/>
      </c>
      <c r="C466" s="39" t="str">
        <f aca="false">IF(Transaksi!C465="","",Transaksi!D465)</f>
        <v/>
      </c>
      <c r="D466" s="40" t="str">
        <f aca="false">IF(Transaksi!C465="","",Transaksi!H465)</f>
        <v/>
      </c>
      <c r="E466" s="39" t="str">
        <f aca="false">IF(Transaksi!C465="","",Transaksi!G465)</f>
        <v/>
      </c>
      <c r="F466" s="36" t="str">
        <f aca="false">IF(Transaksi!C465="","",Transaksi!J465)</f>
        <v/>
      </c>
      <c r="G466" s="36" t="str">
        <f aca="false">IF(Transaksi!C465="","",Transaksi!K465)</f>
        <v/>
      </c>
      <c r="H466" s="36" t="str">
        <f aca="false">IF($B466="","",Pengaturan!$C$10+SUMIFS(Transaksi!$J$6:$J465,Transaksi!$G$6:$G465,Pengaturan!$F$19)-SUMIFS(Transaksi!$K$6:$K465,Transaksi!$G$6:$G465,Pengaturan!$F$19))</f>
        <v/>
      </c>
      <c r="I466" s="36" t="str">
        <f aca="false">IF($B466="","",Pengaturan!$C$11+SUMIFS(Transaksi!$J$6:$J465,Transaksi!$G$6:$G465,Pengaturan!$F$20)-SUMIFS(Transaksi!$K$6:$K465,Transaksi!$G$6:$G465,Pengaturan!$F$20))</f>
        <v/>
      </c>
      <c r="J466" s="41" t="str">
        <f aca="false">IF($B466="","",H466+I466)</f>
        <v/>
      </c>
    </row>
    <row r="467" customFormat="false" ht="15" hidden="false" customHeight="false" outlineLevel="0" collapsed="false">
      <c r="B467" s="38" t="str">
        <f aca="false">IF(Transaksi!C466="","",Transaksi!C466)</f>
        <v/>
      </c>
      <c r="C467" s="39" t="str">
        <f aca="false">IF(Transaksi!C466="","",Transaksi!D466)</f>
        <v/>
      </c>
      <c r="D467" s="40" t="str">
        <f aca="false">IF(Transaksi!C466="","",Transaksi!H466)</f>
        <v/>
      </c>
      <c r="E467" s="39" t="str">
        <f aca="false">IF(Transaksi!C466="","",Transaksi!G466)</f>
        <v/>
      </c>
      <c r="F467" s="36" t="str">
        <f aca="false">IF(Transaksi!C466="","",Transaksi!J466)</f>
        <v/>
      </c>
      <c r="G467" s="36" t="str">
        <f aca="false">IF(Transaksi!C466="","",Transaksi!K466)</f>
        <v/>
      </c>
      <c r="H467" s="36" t="str">
        <f aca="false">IF($B467="","",Pengaturan!$C$10+SUMIFS(Transaksi!$J$6:$J466,Transaksi!$G$6:$G466,Pengaturan!$F$19)-SUMIFS(Transaksi!$K$6:$K466,Transaksi!$G$6:$G466,Pengaturan!$F$19))</f>
        <v/>
      </c>
      <c r="I467" s="36" t="str">
        <f aca="false">IF($B467="","",Pengaturan!$C$11+SUMIFS(Transaksi!$J$6:$J466,Transaksi!$G$6:$G466,Pengaturan!$F$20)-SUMIFS(Transaksi!$K$6:$K466,Transaksi!$G$6:$G466,Pengaturan!$F$20))</f>
        <v/>
      </c>
      <c r="J467" s="41" t="str">
        <f aca="false">IF($B467="","",H467+I467)</f>
        <v/>
      </c>
    </row>
    <row r="468" customFormat="false" ht="15" hidden="false" customHeight="false" outlineLevel="0" collapsed="false">
      <c r="B468" s="38" t="str">
        <f aca="false">IF(Transaksi!C467="","",Transaksi!C467)</f>
        <v/>
      </c>
      <c r="C468" s="39" t="str">
        <f aca="false">IF(Transaksi!C467="","",Transaksi!D467)</f>
        <v/>
      </c>
      <c r="D468" s="40" t="str">
        <f aca="false">IF(Transaksi!C467="","",Transaksi!H467)</f>
        <v/>
      </c>
      <c r="E468" s="39" t="str">
        <f aca="false">IF(Transaksi!C467="","",Transaksi!G467)</f>
        <v/>
      </c>
      <c r="F468" s="36" t="str">
        <f aca="false">IF(Transaksi!C467="","",Transaksi!J467)</f>
        <v/>
      </c>
      <c r="G468" s="36" t="str">
        <f aca="false">IF(Transaksi!C467="","",Transaksi!K467)</f>
        <v/>
      </c>
      <c r="H468" s="36" t="str">
        <f aca="false">IF($B468="","",Pengaturan!$C$10+SUMIFS(Transaksi!$J$6:$J467,Transaksi!$G$6:$G467,Pengaturan!$F$19)-SUMIFS(Transaksi!$K$6:$K467,Transaksi!$G$6:$G467,Pengaturan!$F$19))</f>
        <v/>
      </c>
      <c r="I468" s="36" t="str">
        <f aca="false">IF($B468="","",Pengaturan!$C$11+SUMIFS(Transaksi!$J$6:$J467,Transaksi!$G$6:$G467,Pengaturan!$F$20)-SUMIFS(Transaksi!$K$6:$K467,Transaksi!$G$6:$G467,Pengaturan!$F$20))</f>
        <v/>
      </c>
      <c r="J468" s="41" t="str">
        <f aca="false">IF($B468="","",H468+I468)</f>
        <v/>
      </c>
    </row>
    <row r="469" customFormat="false" ht="15" hidden="false" customHeight="false" outlineLevel="0" collapsed="false">
      <c r="B469" s="38" t="str">
        <f aca="false">IF(Transaksi!C468="","",Transaksi!C468)</f>
        <v/>
      </c>
      <c r="C469" s="39" t="str">
        <f aca="false">IF(Transaksi!C468="","",Transaksi!D468)</f>
        <v/>
      </c>
      <c r="D469" s="40" t="str">
        <f aca="false">IF(Transaksi!C468="","",Transaksi!H468)</f>
        <v/>
      </c>
      <c r="E469" s="39" t="str">
        <f aca="false">IF(Transaksi!C468="","",Transaksi!G468)</f>
        <v/>
      </c>
      <c r="F469" s="36" t="str">
        <f aca="false">IF(Transaksi!C468="","",Transaksi!J468)</f>
        <v/>
      </c>
      <c r="G469" s="36" t="str">
        <f aca="false">IF(Transaksi!C468="","",Transaksi!K468)</f>
        <v/>
      </c>
      <c r="H469" s="36" t="str">
        <f aca="false">IF($B469="","",Pengaturan!$C$10+SUMIFS(Transaksi!$J$6:$J468,Transaksi!$G$6:$G468,Pengaturan!$F$19)-SUMIFS(Transaksi!$K$6:$K468,Transaksi!$G$6:$G468,Pengaturan!$F$19))</f>
        <v/>
      </c>
      <c r="I469" s="36" t="str">
        <f aca="false">IF($B469="","",Pengaturan!$C$11+SUMIFS(Transaksi!$J$6:$J468,Transaksi!$G$6:$G468,Pengaturan!$F$20)-SUMIFS(Transaksi!$K$6:$K468,Transaksi!$G$6:$G468,Pengaturan!$F$20))</f>
        <v/>
      </c>
      <c r="J469" s="41" t="str">
        <f aca="false">IF($B469="","",H469+I469)</f>
        <v/>
      </c>
    </row>
    <row r="470" customFormat="false" ht="15" hidden="false" customHeight="false" outlineLevel="0" collapsed="false">
      <c r="B470" s="38" t="str">
        <f aca="false">IF(Transaksi!C469="","",Transaksi!C469)</f>
        <v/>
      </c>
      <c r="C470" s="39" t="str">
        <f aca="false">IF(Transaksi!C469="","",Transaksi!D469)</f>
        <v/>
      </c>
      <c r="D470" s="40" t="str">
        <f aca="false">IF(Transaksi!C469="","",Transaksi!H469)</f>
        <v/>
      </c>
      <c r="E470" s="39" t="str">
        <f aca="false">IF(Transaksi!C469="","",Transaksi!G469)</f>
        <v/>
      </c>
      <c r="F470" s="36" t="str">
        <f aca="false">IF(Transaksi!C469="","",Transaksi!J469)</f>
        <v/>
      </c>
      <c r="G470" s="36" t="str">
        <f aca="false">IF(Transaksi!C469="","",Transaksi!K469)</f>
        <v/>
      </c>
      <c r="H470" s="36" t="str">
        <f aca="false">IF($B470="","",Pengaturan!$C$10+SUMIFS(Transaksi!$J$6:$J469,Transaksi!$G$6:$G469,Pengaturan!$F$19)-SUMIFS(Transaksi!$K$6:$K469,Transaksi!$G$6:$G469,Pengaturan!$F$19))</f>
        <v/>
      </c>
      <c r="I470" s="36" t="str">
        <f aca="false">IF($B470="","",Pengaturan!$C$11+SUMIFS(Transaksi!$J$6:$J469,Transaksi!$G$6:$G469,Pengaturan!$F$20)-SUMIFS(Transaksi!$K$6:$K469,Transaksi!$G$6:$G469,Pengaturan!$F$20))</f>
        <v/>
      </c>
      <c r="J470" s="41" t="str">
        <f aca="false">IF($B470="","",H470+I470)</f>
        <v/>
      </c>
    </row>
    <row r="471" customFormat="false" ht="15" hidden="false" customHeight="false" outlineLevel="0" collapsed="false">
      <c r="B471" s="38" t="str">
        <f aca="false">IF(Transaksi!C470="","",Transaksi!C470)</f>
        <v/>
      </c>
      <c r="C471" s="39" t="str">
        <f aca="false">IF(Transaksi!C470="","",Transaksi!D470)</f>
        <v/>
      </c>
      <c r="D471" s="40" t="str">
        <f aca="false">IF(Transaksi!C470="","",Transaksi!H470)</f>
        <v/>
      </c>
      <c r="E471" s="39" t="str">
        <f aca="false">IF(Transaksi!C470="","",Transaksi!G470)</f>
        <v/>
      </c>
      <c r="F471" s="36" t="str">
        <f aca="false">IF(Transaksi!C470="","",Transaksi!J470)</f>
        <v/>
      </c>
      <c r="G471" s="36" t="str">
        <f aca="false">IF(Transaksi!C470="","",Transaksi!K470)</f>
        <v/>
      </c>
      <c r="H471" s="36" t="str">
        <f aca="false">IF($B471="","",Pengaturan!$C$10+SUMIFS(Transaksi!$J$6:$J470,Transaksi!$G$6:$G470,Pengaturan!$F$19)-SUMIFS(Transaksi!$K$6:$K470,Transaksi!$G$6:$G470,Pengaturan!$F$19))</f>
        <v/>
      </c>
      <c r="I471" s="36" t="str">
        <f aca="false">IF($B471="","",Pengaturan!$C$11+SUMIFS(Transaksi!$J$6:$J470,Transaksi!$G$6:$G470,Pengaturan!$F$20)-SUMIFS(Transaksi!$K$6:$K470,Transaksi!$G$6:$G470,Pengaturan!$F$20))</f>
        <v/>
      </c>
      <c r="J471" s="41" t="str">
        <f aca="false">IF($B471="","",H471+I471)</f>
        <v/>
      </c>
    </row>
    <row r="472" customFormat="false" ht="15" hidden="false" customHeight="false" outlineLevel="0" collapsed="false">
      <c r="B472" s="38" t="str">
        <f aca="false">IF(Transaksi!C471="","",Transaksi!C471)</f>
        <v/>
      </c>
      <c r="C472" s="39" t="str">
        <f aca="false">IF(Transaksi!C471="","",Transaksi!D471)</f>
        <v/>
      </c>
      <c r="D472" s="40" t="str">
        <f aca="false">IF(Transaksi!C471="","",Transaksi!H471)</f>
        <v/>
      </c>
      <c r="E472" s="39" t="str">
        <f aca="false">IF(Transaksi!C471="","",Transaksi!G471)</f>
        <v/>
      </c>
      <c r="F472" s="36" t="str">
        <f aca="false">IF(Transaksi!C471="","",Transaksi!J471)</f>
        <v/>
      </c>
      <c r="G472" s="36" t="str">
        <f aca="false">IF(Transaksi!C471="","",Transaksi!K471)</f>
        <v/>
      </c>
      <c r="H472" s="36" t="str">
        <f aca="false">IF($B472="","",Pengaturan!$C$10+SUMIFS(Transaksi!$J$6:$J471,Transaksi!$G$6:$G471,Pengaturan!$F$19)-SUMIFS(Transaksi!$K$6:$K471,Transaksi!$G$6:$G471,Pengaturan!$F$19))</f>
        <v/>
      </c>
      <c r="I472" s="36" t="str">
        <f aca="false">IF($B472="","",Pengaturan!$C$11+SUMIFS(Transaksi!$J$6:$J471,Transaksi!$G$6:$G471,Pengaturan!$F$20)-SUMIFS(Transaksi!$K$6:$K471,Transaksi!$G$6:$G471,Pengaturan!$F$20))</f>
        <v/>
      </c>
      <c r="J472" s="41" t="str">
        <f aca="false">IF($B472="","",H472+I472)</f>
        <v/>
      </c>
    </row>
    <row r="473" customFormat="false" ht="15" hidden="false" customHeight="false" outlineLevel="0" collapsed="false">
      <c r="B473" s="38" t="str">
        <f aca="false">IF(Transaksi!C472="","",Transaksi!C472)</f>
        <v/>
      </c>
      <c r="C473" s="39" t="str">
        <f aca="false">IF(Transaksi!C472="","",Transaksi!D472)</f>
        <v/>
      </c>
      <c r="D473" s="40" t="str">
        <f aca="false">IF(Transaksi!C472="","",Transaksi!H472)</f>
        <v/>
      </c>
      <c r="E473" s="39" t="str">
        <f aca="false">IF(Transaksi!C472="","",Transaksi!G472)</f>
        <v/>
      </c>
      <c r="F473" s="36" t="str">
        <f aca="false">IF(Transaksi!C472="","",Transaksi!J472)</f>
        <v/>
      </c>
      <c r="G473" s="36" t="str">
        <f aca="false">IF(Transaksi!C472="","",Transaksi!K472)</f>
        <v/>
      </c>
      <c r="H473" s="36" t="str">
        <f aca="false">IF($B473="","",Pengaturan!$C$10+SUMIFS(Transaksi!$J$6:$J472,Transaksi!$G$6:$G472,Pengaturan!$F$19)-SUMIFS(Transaksi!$K$6:$K472,Transaksi!$G$6:$G472,Pengaturan!$F$19))</f>
        <v/>
      </c>
      <c r="I473" s="36" t="str">
        <f aca="false">IF($B473="","",Pengaturan!$C$11+SUMIFS(Transaksi!$J$6:$J472,Transaksi!$G$6:$G472,Pengaturan!$F$20)-SUMIFS(Transaksi!$K$6:$K472,Transaksi!$G$6:$G472,Pengaturan!$F$20))</f>
        <v/>
      </c>
      <c r="J473" s="41" t="str">
        <f aca="false">IF($B473="","",H473+I473)</f>
        <v/>
      </c>
    </row>
    <row r="474" customFormat="false" ht="15" hidden="false" customHeight="false" outlineLevel="0" collapsed="false">
      <c r="B474" s="38" t="str">
        <f aca="false">IF(Transaksi!C473="","",Transaksi!C473)</f>
        <v/>
      </c>
      <c r="C474" s="39" t="str">
        <f aca="false">IF(Transaksi!C473="","",Transaksi!D473)</f>
        <v/>
      </c>
      <c r="D474" s="40" t="str">
        <f aca="false">IF(Transaksi!C473="","",Transaksi!H473)</f>
        <v/>
      </c>
      <c r="E474" s="39" t="str">
        <f aca="false">IF(Transaksi!C473="","",Transaksi!G473)</f>
        <v/>
      </c>
      <c r="F474" s="36" t="str">
        <f aca="false">IF(Transaksi!C473="","",Transaksi!J473)</f>
        <v/>
      </c>
      <c r="G474" s="36" t="str">
        <f aca="false">IF(Transaksi!C473="","",Transaksi!K473)</f>
        <v/>
      </c>
      <c r="H474" s="36" t="str">
        <f aca="false">IF($B474="","",Pengaturan!$C$10+SUMIFS(Transaksi!$J$6:$J473,Transaksi!$G$6:$G473,Pengaturan!$F$19)-SUMIFS(Transaksi!$K$6:$K473,Transaksi!$G$6:$G473,Pengaturan!$F$19))</f>
        <v/>
      </c>
      <c r="I474" s="36" t="str">
        <f aca="false">IF($B474="","",Pengaturan!$C$11+SUMIFS(Transaksi!$J$6:$J473,Transaksi!$G$6:$G473,Pengaturan!$F$20)-SUMIFS(Transaksi!$K$6:$K473,Transaksi!$G$6:$G473,Pengaturan!$F$20))</f>
        <v/>
      </c>
      <c r="J474" s="41" t="str">
        <f aca="false">IF($B474="","",H474+I474)</f>
        <v/>
      </c>
    </row>
    <row r="475" customFormat="false" ht="15" hidden="false" customHeight="false" outlineLevel="0" collapsed="false">
      <c r="B475" s="38" t="str">
        <f aca="false">IF(Transaksi!C474="","",Transaksi!C474)</f>
        <v/>
      </c>
      <c r="C475" s="39" t="str">
        <f aca="false">IF(Transaksi!C474="","",Transaksi!D474)</f>
        <v/>
      </c>
      <c r="D475" s="40" t="str">
        <f aca="false">IF(Transaksi!C474="","",Transaksi!H474)</f>
        <v/>
      </c>
      <c r="E475" s="39" t="str">
        <f aca="false">IF(Transaksi!C474="","",Transaksi!G474)</f>
        <v/>
      </c>
      <c r="F475" s="36" t="str">
        <f aca="false">IF(Transaksi!C474="","",Transaksi!J474)</f>
        <v/>
      </c>
      <c r="G475" s="36" t="str">
        <f aca="false">IF(Transaksi!C474="","",Transaksi!K474)</f>
        <v/>
      </c>
      <c r="H475" s="36" t="str">
        <f aca="false">IF($B475="","",Pengaturan!$C$10+SUMIFS(Transaksi!$J$6:$J474,Transaksi!$G$6:$G474,Pengaturan!$F$19)-SUMIFS(Transaksi!$K$6:$K474,Transaksi!$G$6:$G474,Pengaturan!$F$19))</f>
        <v/>
      </c>
      <c r="I475" s="36" t="str">
        <f aca="false">IF($B475="","",Pengaturan!$C$11+SUMIFS(Transaksi!$J$6:$J474,Transaksi!$G$6:$G474,Pengaturan!$F$20)-SUMIFS(Transaksi!$K$6:$K474,Transaksi!$G$6:$G474,Pengaturan!$F$20))</f>
        <v/>
      </c>
      <c r="J475" s="41" t="str">
        <f aca="false">IF($B475="","",H475+I475)</f>
        <v/>
      </c>
    </row>
    <row r="476" customFormat="false" ht="15" hidden="false" customHeight="false" outlineLevel="0" collapsed="false">
      <c r="B476" s="38" t="str">
        <f aca="false">IF(Transaksi!C475="","",Transaksi!C475)</f>
        <v/>
      </c>
      <c r="C476" s="39" t="str">
        <f aca="false">IF(Transaksi!C475="","",Transaksi!D475)</f>
        <v/>
      </c>
      <c r="D476" s="40" t="str">
        <f aca="false">IF(Transaksi!C475="","",Transaksi!H475)</f>
        <v/>
      </c>
      <c r="E476" s="39" t="str">
        <f aca="false">IF(Transaksi!C475="","",Transaksi!G475)</f>
        <v/>
      </c>
      <c r="F476" s="36" t="str">
        <f aca="false">IF(Transaksi!C475="","",Transaksi!J475)</f>
        <v/>
      </c>
      <c r="G476" s="36" t="str">
        <f aca="false">IF(Transaksi!C475="","",Transaksi!K475)</f>
        <v/>
      </c>
      <c r="H476" s="36" t="str">
        <f aca="false">IF($B476="","",Pengaturan!$C$10+SUMIFS(Transaksi!$J$6:$J475,Transaksi!$G$6:$G475,Pengaturan!$F$19)-SUMIFS(Transaksi!$K$6:$K475,Transaksi!$G$6:$G475,Pengaturan!$F$19))</f>
        <v/>
      </c>
      <c r="I476" s="36" t="str">
        <f aca="false">IF($B476="","",Pengaturan!$C$11+SUMIFS(Transaksi!$J$6:$J475,Transaksi!$G$6:$G475,Pengaturan!$F$20)-SUMIFS(Transaksi!$K$6:$K475,Transaksi!$G$6:$G475,Pengaturan!$F$20))</f>
        <v/>
      </c>
      <c r="J476" s="41" t="str">
        <f aca="false">IF($B476="","",H476+I476)</f>
        <v/>
      </c>
    </row>
    <row r="477" customFormat="false" ht="15" hidden="false" customHeight="false" outlineLevel="0" collapsed="false">
      <c r="B477" s="38" t="str">
        <f aca="false">IF(Transaksi!C476="","",Transaksi!C476)</f>
        <v/>
      </c>
      <c r="C477" s="39" t="str">
        <f aca="false">IF(Transaksi!C476="","",Transaksi!D476)</f>
        <v/>
      </c>
      <c r="D477" s="40" t="str">
        <f aca="false">IF(Transaksi!C476="","",Transaksi!H476)</f>
        <v/>
      </c>
      <c r="E477" s="39" t="str">
        <f aca="false">IF(Transaksi!C476="","",Transaksi!G476)</f>
        <v/>
      </c>
      <c r="F477" s="36" t="str">
        <f aca="false">IF(Transaksi!C476="","",Transaksi!J476)</f>
        <v/>
      </c>
      <c r="G477" s="36" t="str">
        <f aca="false">IF(Transaksi!C476="","",Transaksi!K476)</f>
        <v/>
      </c>
      <c r="H477" s="36" t="str">
        <f aca="false">IF($B477="","",Pengaturan!$C$10+SUMIFS(Transaksi!$J$6:$J476,Transaksi!$G$6:$G476,Pengaturan!$F$19)-SUMIFS(Transaksi!$K$6:$K476,Transaksi!$G$6:$G476,Pengaturan!$F$19))</f>
        <v/>
      </c>
      <c r="I477" s="36" t="str">
        <f aca="false">IF($B477="","",Pengaturan!$C$11+SUMIFS(Transaksi!$J$6:$J476,Transaksi!$G$6:$G476,Pengaturan!$F$20)-SUMIFS(Transaksi!$K$6:$K476,Transaksi!$G$6:$G476,Pengaturan!$F$20))</f>
        <v/>
      </c>
      <c r="J477" s="41" t="str">
        <f aca="false">IF($B477="","",H477+I477)</f>
        <v/>
      </c>
    </row>
    <row r="478" customFormat="false" ht="15" hidden="false" customHeight="false" outlineLevel="0" collapsed="false">
      <c r="B478" s="38" t="str">
        <f aca="false">IF(Transaksi!C477="","",Transaksi!C477)</f>
        <v/>
      </c>
      <c r="C478" s="39" t="str">
        <f aca="false">IF(Transaksi!C477="","",Transaksi!D477)</f>
        <v/>
      </c>
      <c r="D478" s="40" t="str">
        <f aca="false">IF(Transaksi!C477="","",Transaksi!H477)</f>
        <v/>
      </c>
      <c r="E478" s="39" t="str">
        <f aca="false">IF(Transaksi!C477="","",Transaksi!G477)</f>
        <v/>
      </c>
      <c r="F478" s="36" t="str">
        <f aca="false">IF(Transaksi!C477="","",Transaksi!J477)</f>
        <v/>
      </c>
      <c r="G478" s="36" t="str">
        <f aca="false">IF(Transaksi!C477="","",Transaksi!K477)</f>
        <v/>
      </c>
      <c r="H478" s="36" t="str">
        <f aca="false">IF($B478="","",Pengaturan!$C$10+SUMIFS(Transaksi!$J$6:$J477,Transaksi!$G$6:$G477,Pengaturan!$F$19)-SUMIFS(Transaksi!$K$6:$K477,Transaksi!$G$6:$G477,Pengaturan!$F$19))</f>
        <v/>
      </c>
      <c r="I478" s="36" t="str">
        <f aca="false">IF($B478="","",Pengaturan!$C$11+SUMIFS(Transaksi!$J$6:$J477,Transaksi!$G$6:$G477,Pengaturan!$F$20)-SUMIFS(Transaksi!$K$6:$K477,Transaksi!$G$6:$G477,Pengaturan!$F$20))</f>
        <v/>
      </c>
      <c r="J478" s="41" t="str">
        <f aca="false">IF($B478="","",H478+I478)</f>
        <v/>
      </c>
    </row>
    <row r="479" customFormat="false" ht="15" hidden="false" customHeight="false" outlineLevel="0" collapsed="false">
      <c r="B479" s="38" t="str">
        <f aca="false">IF(Transaksi!C478="","",Transaksi!C478)</f>
        <v/>
      </c>
      <c r="C479" s="39" t="str">
        <f aca="false">IF(Transaksi!C478="","",Transaksi!D478)</f>
        <v/>
      </c>
      <c r="D479" s="40" t="str">
        <f aca="false">IF(Transaksi!C478="","",Transaksi!H478)</f>
        <v/>
      </c>
      <c r="E479" s="39" t="str">
        <f aca="false">IF(Transaksi!C478="","",Transaksi!G478)</f>
        <v/>
      </c>
      <c r="F479" s="36" t="str">
        <f aca="false">IF(Transaksi!C478="","",Transaksi!J478)</f>
        <v/>
      </c>
      <c r="G479" s="36" t="str">
        <f aca="false">IF(Transaksi!C478="","",Transaksi!K478)</f>
        <v/>
      </c>
      <c r="H479" s="36" t="str">
        <f aca="false">IF($B479="","",Pengaturan!$C$10+SUMIFS(Transaksi!$J$6:$J478,Transaksi!$G$6:$G478,Pengaturan!$F$19)-SUMIFS(Transaksi!$K$6:$K478,Transaksi!$G$6:$G478,Pengaturan!$F$19))</f>
        <v/>
      </c>
      <c r="I479" s="36" t="str">
        <f aca="false">IF($B479="","",Pengaturan!$C$11+SUMIFS(Transaksi!$J$6:$J478,Transaksi!$G$6:$G478,Pengaturan!$F$20)-SUMIFS(Transaksi!$K$6:$K478,Transaksi!$G$6:$G478,Pengaturan!$F$20))</f>
        <v/>
      </c>
      <c r="J479" s="41" t="str">
        <f aca="false">IF($B479="","",H479+I479)</f>
        <v/>
      </c>
    </row>
    <row r="480" customFormat="false" ht="15" hidden="false" customHeight="false" outlineLevel="0" collapsed="false">
      <c r="B480" s="38" t="str">
        <f aca="false">IF(Transaksi!C479="","",Transaksi!C479)</f>
        <v/>
      </c>
      <c r="C480" s="39" t="str">
        <f aca="false">IF(Transaksi!C479="","",Transaksi!D479)</f>
        <v/>
      </c>
      <c r="D480" s="40" t="str">
        <f aca="false">IF(Transaksi!C479="","",Transaksi!H479)</f>
        <v/>
      </c>
      <c r="E480" s="39" t="str">
        <f aca="false">IF(Transaksi!C479="","",Transaksi!G479)</f>
        <v/>
      </c>
      <c r="F480" s="36" t="str">
        <f aca="false">IF(Transaksi!C479="","",Transaksi!J479)</f>
        <v/>
      </c>
      <c r="G480" s="36" t="str">
        <f aca="false">IF(Transaksi!C479="","",Transaksi!K479)</f>
        <v/>
      </c>
      <c r="H480" s="36" t="str">
        <f aca="false">IF($B480="","",Pengaturan!$C$10+SUMIFS(Transaksi!$J$6:$J479,Transaksi!$G$6:$G479,Pengaturan!$F$19)-SUMIFS(Transaksi!$K$6:$K479,Transaksi!$G$6:$G479,Pengaturan!$F$19))</f>
        <v/>
      </c>
      <c r="I480" s="36" t="str">
        <f aca="false">IF($B480="","",Pengaturan!$C$11+SUMIFS(Transaksi!$J$6:$J479,Transaksi!$G$6:$G479,Pengaturan!$F$20)-SUMIFS(Transaksi!$K$6:$K479,Transaksi!$G$6:$G479,Pengaturan!$F$20))</f>
        <v/>
      </c>
      <c r="J480" s="41" t="str">
        <f aca="false">IF($B480="","",H480+I480)</f>
        <v/>
      </c>
    </row>
    <row r="481" customFormat="false" ht="15" hidden="false" customHeight="false" outlineLevel="0" collapsed="false">
      <c r="B481" s="38" t="str">
        <f aca="false">IF(Transaksi!C480="","",Transaksi!C480)</f>
        <v/>
      </c>
      <c r="C481" s="39" t="str">
        <f aca="false">IF(Transaksi!C480="","",Transaksi!D480)</f>
        <v/>
      </c>
      <c r="D481" s="40" t="str">
        <f aca="false">IF(Transaksi!C480="","",Transaksi!H480)</f>
        <v/>
      </c>
      <c r="E481" s="39" t="str">
        <f aca="false">IF(Transaksi!C480="","",Transaksi!G480)</f>
        <v/>
      </c>
      <c r="F481" s="36" t="str">
        <f aca="false">IF(Transaksi!C480="","",Transaksi!J480)</f>
        <v/>
      </c>
      <c r="G481" s="36" t="str">
        <f aca="false">IF(Transaksi!C480="","",Transaksi!K480)</f>
        <v/>
      </c>
      <c r="H481" s="36" t="str">
        <f aca="false">IF($B481="","",Pengaturan!$C$10+SUMIFS(Transaksi!$J$6:$J480,Transaksi!$G$6:$G480,Pengaturan!$F$19)-SUMIFS(Transaksi!$K$6:$K480,Transaksi!$G$6:$G480,Pengaturan!$F$19))</f>
        <v/>
      </c>
      <c r="I481" s="36" t="str">
        <f aca="false">IF($B481="","",Pengaturan!$C$11+SUMIFS(Transaksi!$J$6:$J480,Transaksi!$G$6:$G480,Pengaturan!$F$20)-SUMIFS(Transaksi!$K$6:$K480,Transaksi!$G$6:$G480,Pengaturan!$F$20))</f>
        <v/>
      </c>
      <c r="J481" s="41" t="str">
        <f aca="false">IF($B481="","",H481+I481)</f>
        <v/>
      </c>
    </row>
    <row r="482" customFormat="false" ht="15" hidden="false" customHeight="false" outlineLevel="0" collapsed="false">
      <c r="B482" s="38" t="str">
        <f aca="false">IF(Transaksi!C481="","",Transaksi!C481)</f>
        <v/>
      </c>
      <c r="C482" s="39" t="str">
        <f aca="false">IF(Transaksi!C481="","",Transaksi!D481)</f>
        <v/>
      </c>
      <c r="D482" s="40" t="str">
        <f aca="false">IF(Transaksi!C481="","",Transaksi!H481)</f>
        <v/>
      </c>
      <c r="E482" s="39" t="str">
        <f aca="false">IF(Transaksi!C481="","",Transaksi!G481)</f>
        <v/>
      </c>
      <c r="F482" s="36" t="str">
        <f aca="false">IF(Transaksi!C481="","",Transaksi!J481)</f>
        <v/>
      </c>
      <c r="G482" s="36" t="str">
        <f aca="false">IF(Transaksi!C481="","",Transaksi!K481)</f>
        <v/>
      </c>
      <c r="H482" s="36" t="str">
        <f aca="false">IF($B482="","",Pengaturan!$C$10+SUMIFS(Transaksi!$J$6:$J481,Transaksi!$G$6:$G481,Pengaturan!$F$19)-SUMIFS(Transaksi!$K$6:$K481,Transaksi!$G$6:$G481,Pengaturan!$F$19))</f>
        <v/>
      </c>
      <c r="I482" s="36" t="str">
        <f aca="false">IF($B482="","",Pengaturan!$C$11+SUMIFS(Transaksi!$J$6:$J481,Transaksi!$G$6:$G481,Pengaturan!$F$20)-SUMIFS(Transaksi!$K$6:$K481,Transaksi!$G$6:$G481,Pengaturan!$F$20))</f>
        <v/>
      </c>
      <c r="J482" s="41" t="str">
        <f aca="false">IF($B482="","",H482+I482)</f>
        <v/>
      </c>
    </row>
    <row r="483" customFormat="false" ht="15" hidden="false" customHeight="false" outlineLevel="0" collapsed="false">
      <c r="B483" s="38" t="str">
        <f aca="false">IF(Transaksi!C482="","",Transaksi!C482)</f>
        <v/>
      </c>
      <c r="C483" s="39" t="str">
        <f aca="false">IF(Transaksi!C482="","",Transaksi!D482)</f>
        <v/>
      </c>
      <c r="D483" s="40" t="str">
        <f aca="false">IF(Transaksi!C482="","",Transaksi!H482)</f>
        <v/>
      </c>
      <c r="E483" s="39" t="str">
        <f aca="false">IF(Transaksi!C482="","",Transaksi!G482)</f>
        <v/>
      </c>
      <c r="F483" s="36" t="str">
        <f aca="false">IF(Transaksi!C482="","",Transaksi!J482)</f>
        <v/>
      </c>
      <c r="G483" s="36" t="str">
        <f aca="false">IF(Transaksi!C482="","",Transaksi!K482)</f>
        <v/>
      </c>
      <c r="H483" s="36" t="str">
        <f aca="false">IF($B483="","",Pengaturan!$C$10+SUMIFS(Transaksi!$J$6:$J482,Transaksi!$G$6:$G482,Pengaturan!$F$19)-SUMIFS(Transaksi!$K$6:$K482,Transaksi!$G$6:$G482,Pengaturan!$F$19))</f>
        <v/>
      </c>
      <c r="I483" s="36" t="str">
        <f aca="false">IF($B483="","",Pengaturan!$C$11+SUMIFS(Transaksi!$J$6:$J482,Transaksi!$G$6:$G482,Pengaturan!$F$20)-SUMIFS(Transaksi!$K$6:$K482,Transaksi!$G$6:$G482,Pengaturan!$F$20))</f>
        <v/>
      </c>
      <c r="J483" s="41" t="str">
        <f aca="false">IF($B483="","",H483+I483)</f>
        <v/>
      </c>
    </row>
    <row r="484" customFormat="false" ht="15" hidden="false" customHeight="false" outlineLevel="0" collapsed="false">
      <c r="B484" s="38" t="str">
        <f aca="false">IF(Transaksi!C483="","",Transaksi!C483)</f>
        <v/>
      </c>
      <c r="C484" s="39" t="str">
        <f aca="false">IF(Transaksi!C483="","",Transaksi!D483)</f>
        <v/>
      </c>
      <c r="D484" s="40" t="str">
        <f aca="false">IF(Transaksi!C483="","",Transaksi!H483)</f>
        <v/>
      </c>
      <c r="E484" s="39" t="str">
        <f aca="false">IF(Transaksi!C483="","",Transaksi!G483)</f>
        <v/>
      </c>
      <c r="F484" s="36" t="str">
        <f aca="false">IF(Transaksi!C483="","",Transaksi!J483)</f>
        <v/>
      </c>
      <c r="G484" s="36" t="str">
        <f aca="false">IF(Transaksi!C483="","",Transaksi!K483)</f>
        <v/>
      </c>
      <c r="H484" s="36" t="str">
        <f aca="false">IF($B484="","",Pengaturan!$C$10+SUMIFS(Transaksi!$J$6:$J483,Transaksi!$G$6:$G483,Pengaturan!$F$19)-SUMIFS(Transaksi!$K$6:$K483,Transaksi!$G$6:$G483,Pengaturan!$F$19))</f>
        <v/>
      </c>
      <c r="I484" s="36" t="str">
        <f aca="false">IF($B484="","",Pengaturan!$C$11+SUMIFS(Transaksi!$J$6:$J483,Transaksi!$G$6:$G483,Pengaturan!$F$20)-SUMIFS(Transaksi!$K$6:$K483,Transaksi!$G$6:$G483,Pengaturan!$F$20))</f>
        <v/>
      </c>
      <c r="J484" s="41" t="str">
        <f aca="false">IF($B484="","",H484+I484)</f>
        <v/>
      </c>
    </row>
    <row r="485" customFormat="false" ht="15" hidden="false" customHeight="false" outlineLevel="0" collapsed="false">
      <c r="B485" s="38" t="str">
        <f aca="false">IF(Transaksi!C484="","",Transaksi!C484)</f>
        <v/>
      </c>
      <c r="C485" s="39" t="str">
        <f aca="false">IF(Transaksi!C484="","",Transaksi!D484)</f>
        <v/>
      </c>
      <c r="D485" s="40" t="str">
        <f aca="false">IF(Transaksi!C484="","",Transaksi!H484)</f>
        <v/>
      </c>
      <c r="E485" s="39" t="str">
        <f aca="false">IF(Transaksi!C484="","",Transaksi!G484)</f>
        <v/>
      </c>
      <c r="F485" s="36" t="str">
        <f aca="false">IF(Transaksi!C484="","",Transaksi!J484)</f>
        <v/>
      </c>
      <c r="G485" s="36" t="str">
        <f aca="false">IF(Transaksi!C484="","",Transaksi!K484)</f>
        <v/>
      </c>
      <c r="H485" s="36" t="str">
        <f aca="false">IF($B485="","",Pengaturan!$C$10+SUMIFS(Transaksi!$J$6:$J484,Transaksi!$G$6:$G484,Pengaturan!$F$19)-SUMIFS(Transaksi!$K$6:$K484,Transaksi!$G$6:$G484,Pengaturan!$F$19))</f>
        <v/>
      </c>
      <c r="I485" s="36" t="str">
        <f aca="false">IF($B485="","",Pengaturan!$C$11+SUMIFS(Transaksi!$J$6:$J484,Transaksi!$G$6:$G484,Pengaturan!$F$20)-SUMIFS(Transaksi!$K$6:$K484,Transaksi!$G$6:$G484,Pengaturan!$F$20))</f>
        <v/>
      </c>
      <c r="J485" s="41" t="str">
        <f aca="false">IF($B485="","",H485+I485)</f>
        <v/>
      </c>
    </row>
    <row r="486" customFormat="false" ht="15" hidden="false" customHeight="false" outlineLevel="0" collapsed="false">
      <c r="B486" s="38" t="str">
        <f aca="false">IF(Transaksi!C485="","",Transaksi!C485)</f>
        <v/>
      </c>
      <c r="C486" s="39" t="str">
        <f aca="false">IF(Transaksi!C485="","",Transaksi!D485)</f>
        <v/>
      </c>
      <c r="D486" s="40" t="str">
        <f aca="false">IF(Transaksi!C485="","",Transaksi!H485)</f>
        <v/>
      </c>
      <c r="E486" s="39" t="str">
        <f aca="false">IF(Transaksi!C485="","",Transaksi!G485)</f>
        <v/>
      </c>
      <c r="F486" s="36" t="str">
        <f aca="false">IF(Transaksi!C485="","",Transaksi!J485)</f>
        <v/>
      </c>
      <c r="G486" s="36" t="str">
        <f aca="false">IF(Transaksi!C485="","",Transaksi!K485)</f>
        <v/>
      </c>
      <c r="H486" s="36" t="str">
        <f aca="false">IF($B486="","",Pengaturan!$C$10+SUMIFS(Transaksi!$J$6:$J485,Transaksi!$G$6:$G485,Pengaturan!$F$19)-SUMIFS(Transaksi!$K$6:$K485,Transaksi!$G$6:$G485,Pengaturan!$F$19))</f>
        <v/>
      </c>
      <c r="I486" s="36" t="str">
        <f aca="false">IF($B486="","",Pengaturan!$C$11+SUMIFS(Transaksi!$J$6:$J485,Transaksi!$G$6:$G485,Pengaturan!$F$20)-SUMIFS(Transaksi!$K$6:$K485,Transaksi!$G$6:$G485,Pengaturan!$F$20))</f>
        <v/>
      </c>
      <c r="J486" s="41" t="str">
        <f aca="false">IF($B486="","",H486+I486)</f>
        <v/>
      </c>
    </row>
    <row r="487" customFormat="false" ht="15" hidden="false" customHeight="false" outlineLevel="0" collapsed="false">
      <c r="B487" s="38" t="str">
        <f aca="false">IF(Transaksi!C486="","",Transaksi!C486)</f>
        <v/>
      </c>
      <c r="C487" s="39" t="str">
        <f aca="false">IF(Transaksi!C486="","",Transaksi!D486)</f>
        <v/>
      </c>
      <c r="D487" s="40" t="str">
        <f aca="false">IF(Transaksi!C486="","",Transaksi!H486)</f>
        <v/>
      </c>
      <c r="E487" s="39" t="str">
        <f aca="false">IF(Transaksi!C486="","",Transaksi!G486)</f>
        <v/>
      </c>
      <c r="F487" s="36" t="str">
        <f aca="false">IF(Transaksi!C486="","",Transaksi!J486)</f>
        <v/>
      </c>
      <c r="G487" s="36" t="str">
        <f aca="false">IF(Transaksi!C486="","",Transaksi!K486)</f>
        <v/>
      </c>
      <c r="H487" s="36" t="str">
        <f aca="false">IF($B487="","",Pengaturan!$C$10+SUMIFS(Transaksi!$J$6:$J486,Transaksi!$G$6:$G486,Pengaturan!$F$19)-SUMIFS(Transaksi!$K$6:$K486,Transaksi!$G$6:$G486,Pengaturan!$F$19))</f>
        <v/>
      </c>
      <c r="I487" s="36" t="str">
        <f aca="false">IF($B487="","",Pengaturan!$C$11+SUMIFS(Transaksi!$J$6:$J486,Transaksi!$G$6:$G486,Pengaturan!$F$20)-SUMIFS(Transaksi!$K$6:$K486,Transaksi!$G$6:$G486,Pengaturan!$F$20))</f>
        <v/>
      </c>
      <c r="J487" s="41" t="str">
        <f aca="false">IF($B487="","",H487+I487)</f>
        <v/>
      </c>
    </row>
    <row r="488" customFormat="false" ht="15" hidden="false" customHeight="false" outlineLevel="0" collapsed="false">
      <c r="B488" s="38" t="str">
        <f aca="false">IF(Transaksi!C487="","",Transaksi!C487)</f>
        <v/>
      </c>
      <c r="C488" s="39" t="str">
        <f aca="false">IF(Transaksi!C487="","",Transaksi!D487)</f>
        <v/>
      </c>
      <c r="D488" s="40" t="str">
        <f aca="false">IF(Transaksi!C487="","",Transaksi!H487)</f>
        <v/>
      </c>
      <c r="E488" s="39" t="str">
        <f aca="false">IF(Transaksi!C487="","",Transaksi!G487)</f>
        <v/>
      </c>
      <c r="F488" s="36" t="str">
        <f aca="false">IF(Transaksi!C487="","",Transaksi!J487)</f>
        <v/>
      </c>
      <c r="G488" s="36" t="str">
        <f aca="false">IF(Transaksi!C487="","",Transaksi!K487)</f>
        <v/>
      </c>
      <c r="H488" s="36" t="str">
        <f aca="false">IF($B488="","",Pengaturan!$C$10+SUMIFS(Transaksi!$J$6:$J487,Transaksi!$G$6:$G487,Pengaturan!$F$19)-SUMIFS(Transaksi!$K$6:$K487,Transaksi!$G$6:$G487,Pengaturan!$F$19))</f>
        <v/>
      </c>
      <c r="I488" s="36" t="str">
        <f aca="false">IF($B488="","",Pengaturan!$C$11+SUMIFS(Transaksi!$J$6:$J487,Transaksi!$G$6:$G487,Pengaturan!$F$20)-SUMIFS(Transaksi!$K$6:$K487,Transaksi!$G$6:$G487,Pengaturan!$F$20))</f>
        <v/>
      </c>
      <c r="J488" s="41" t="str">
        <f aca="false">IF($B488="","",H488+I488)</f>
        <v/>
      </c>
    </row>
    <row r="489" customFormat="false" ht="15" hidden="false" customHeight="false" outlineLevel="0" collapsed="false">
      <c r="B489" s="38" t="str">
        <f aca="false">IF(Transaksi!C488="","",Transaksi!C488)</f>
        <v/>
      </c>
      <c r="C489" s="39" t="str">
        <f aca="false">IF(Transaksi!C488="","",Transaksi!D488)</f>
        <v/>
      </c>
      <c r="D489" s="40" t="str">
        <f aca="false">IF(Transaksi!C488="","",Transaksi!H488)</f>
        <v/>
      </c>
      <c r="E489" s="39" t="str">
        <f aca="false">IF(Transaksi!C488="","",Transaksi!G488)</f>
        <v/>
      </c>
      <c r="F489" s="36" t="str">
        <f aca="false">IF(Transaksi!C488="","",Transaksi!J488)</f>
        <v/>
      </c>
      <c r="G489" s="36" t="str">
        <f aca="false">IF(Transaksi!C488="","",Transaksi!K488)</f>
        <v/>
      </c>
      <c r="H489" s="36" t="str">
        <f aca="false">IF($B489="","",Pengaturan!$C$10+SUMIFS(Transaksi!$J$6:$J488,Transaksi!$G$6:$G488,Pengaturan!$F$19)-SUMIFS(Transaksi!$K$6:$K488,Transaksi!$G$6:$G488,Pengaturan!$F$19))</f>
        <v/>
      </c>
      <c r="I489" s="36" t="str">
        <f aca="false">IF($B489="","",Pengaturan!$C$11+SUMIFS(Transaksi!$J$6:$J488,Transaksi!$G$6:$G488,Pengaturan!$F$20)-SUMIFS(Transaksi!$K$6:$K488,Transaksi!$G$6:$G488,Pengaturan!$F$20))</f>
        <v/>
      </c>
      <c r="J489" s="41" t="str">
        <f aca="false">IF($B489="","",H489+I489)</f>
        <v/>
      </c>
    </row>
    <row r="490" customFormat="false" ht="15" hidden="false" customHeight="false" outlineLevel="0" collapsed="false">
      <c r="B490" s="38" t="str">
        <f aca="false">IF(Transaksi!C489="","",Transaksi!C489)</f>
        <v/>
      </c>
      <c r="C490" s="39" t="str">
        <f aca="false">IF(Transaksi!C489="","",Transaksi!D489)</f>
        <v/>
      </c>
      <c r="D490" s="40" t="str">
        <f aca="false">IF(Transaksi!C489="","",Transaksi!H489)</f>
        <v/>
      </c>
      <c r="E490" s="39" t="str">
        <f aca="false">IF(Transaksi!C489="","",Transaksi!G489)</f>
        <v/>
      </c>
      <c r="F490" s="36" t="str">
        <f aca="false">IF(Transaksi!C489="","",Transaksi!J489)</f>
        <v/>
      </c>
      <c r="G490" s="36" t="str">
        <f aca="false">IF(Transaksi!C489="","",Transaksi!K489)</f>
        <v/>
      </c>
      <c r="H490" s="36" t="str">
        <f aca="false">IF($B490="","",Pengaturan!$C$10+SUMIFS(Transaksi!$J$6:$J489,Transaksi!$G$6:$G489,Pengaturan!$F$19)-SUMIFS(Transaksi!$K$6:$K489,Transaksi!$G$6:$G489,Pengaturan!$F$19))</f>
        <v/>
      </c>
      <c r="I490" s="36" t="str">
        <f aca="false">IF($B490="","",Pengaturan!$C$11+SUMIFS(Transaksi!$J$6:$J489,Transaksi!$G$6:$G489,Pengaturan!$F$20)-SUMIFS(Transaksi!$K$6:$K489,Transaksi!$G$6:$G489,Pengaturan!$F$20))</f>
        <v/>
      </c>
      <c r="J490" s="41" t="str">
        <f aca="false">IF($B490="","",H490+I490)</f>
        <v/>
      </c>
    </row>
    <row r="491" customFormat="false" ht="15" hidden="false" customHeight="false" outlineLevel="0" collapsed="false">
      <c r="B491" s="38" t="str">
        <f aca="false">IF(Transaksi!C490="","",Transaksi!C490)</f>
        <v/>
      </c>
      <c r="C491" s="39" t="str">
        <f aca="false">IF(Transaksi!C490="","",Transaksi!D490)</f>
        <v/>
      </c>
      <c r="D491" s="40" t="str">
        <f aca="false">IF(Transaksi!C490="","",Transaksi!H490)</f>
        <v/>
      </c>
      <c r="E491" s="39" t="str">
        <f aca="false">IF(Transaksi!C490="","",Transaksi!G490)</f>
        <v/>
      </c>
      <c r="F491" s="36" t="str">
        <f aca="false">IF(Transaksi!C490="","",Transaksi!J490)</f>
        <v/>
      </c>
      <c r="G491" s="36" t="str">
        <f aca="false">IF(Transaksi!C490="","",Transaksi!K490)</f>
        <v/>
      </c>
      <c r="H491" s="36" t="str">
        <f aca="false">IF($B491="","",Pengaturan!$C$10+SUMIFS(Transaksi!$J$6:$J490,Transaksi!$G$6:$G490,Pengaturan!$F$19)-SUMIFS(Transaksi!$K$6:$K490,Transaksi!$G$6:$G490,Pengaturan!$F$19))</f>
        <v/>
      </c>
      <c r="I491" s="36" t="str">
        <f aca="false">IF($B491="","",Pengaturan!$C$11+SUMIFS(Transaksi!$J$6:$J490,Transaksi!$G$6:$G490,Pengaturan!$F$20)-SUMIFS(Transaksi!$K$6:$K490,Transaksi!$G$6:$G490,Pengaturan!$F$20))</f>
        <v/>
      </c>
      <c r="J491" s="41" t="str">
        <f aca="false">IF($B491="","",H491+I491)</f>
        <v/>
      </c>
    </row>
    <row r="492" customFormat="false" ht="15" hidden="false" customHeight="false" outlineLevel="0" collapsed="false">
      <c r="B492" s="38" t="str">
        <f aca="false">IF(Transaksi!C491="","",Transaksi!C491)</f>
        <v/>
      </c>
      <c r="C492" s="39" t="str">
        <f aca="false">IF(Transaksi!C491="","",Transaksi!D491)</f>
        <v/>
      </c>
      <c r="D492" s="40" t="str">
        <f aca="false">IF(Transaksi!C491="","",Transaksi!H491)</f>
        <v/>
      </c>
      <c r="E492" s="39" t="str">
        <f aca="false">IF(Transaksi!C491="","",Transaksi!G491)</f>
        <v/>
      </c>
      <c r="F492" s="36" t="str">
        <f aca="false">IF(Transaksi!C491="","",Transaksi!J491)</f>
        <v/>
      </c>
      <c r="G492" s="36" t="str">
        <f aca="false">IF(Transaksi!C491="","",Transaksi!K491)</f>
        <v/>
      </c>
      <c r="H492" s="36" t="str">
        <f aca="false">IF($B492="","",Pengaturan!$C$10+SUMIFS(Transaksi!$J$6:$J491,Transaksi!$G$6:$G491,Pengaturan!$F$19)-SUMIFS(Transaksi!$K$6:$K491,Transaksi!$G$6:$G491,Pengaturan!$F$19))</f>
        <v/>
      </c>
      <c r="I492" s="36" t="str">
        <f aca="false">IF($B492="","",Pengaturan!$C$11+SUMIFS(Transaksi!$J$6:$J491,Transaksi!$G$6:$G491,Pengaturan!$F$20)-SUMIFS(Transaksi!$K$6:$K491,Transaksi!$G$6:$G491,Pengaturan!$F$20))</f>
        <v/>
      </c>
      <c r="J492" s="41" t="str">
        <f aca="false">IF($B492="","",H492+I492)</f>
        <v/>
      </c>
    </row>
    <row r="493" customFormat="false" ht="15" hidden="false" customHeight="false" outlineLevel="0" collapsed="false">
      <c r="B493" s="38" t="str">
        <f aca="false">IF(Transaksi!C492="","",Transaksi!C492)</f>
        <v/>
      </c>
      <c r="C493" s="39" t="str">
        <f aca="false">IF(Transaksi!C492="","",Transaksi!D492)</f>
        <v/>
      </c>
      <c r="D493" s="40" t="str">
        <f aca="false">IF(Transaksi!C492="","",Transaksi!H492)</f>
        <v/>
      </c>
      <c r="E493" s="39" t="str">
        <f aca="false">IF(Transaksi!C492="","",Transaksi!G492)</f>
        <v/>
      </c>
      <c r="F493" s="36" t="str">
        <f aca="false">IF(Transaksi!C492="","",Transaksi!J492)</f>
        <v/>
      </c>
      <c r="G493" s="36" t="str">
        <f aca="false">IF(Transaksi!C492="","",Transaksi!K492)</f>
        <v/>
      </c>
      <c r="H493" s="36" t="str">
        <f aca="false">IF($B493="","",Pengaturan!$C$10+SUMIFS(Transaksi!$J$6:$J492,Transaksi!$G$6:$G492,Pengaturan!$F$19)-SUMIFS(Transaksi!$K$6:$K492,Transaksi!$G$6:$G492,Pengaturan!$F$19))</f>
        <v/>
      </c>
      <c r="I493" s="36" t="str">
        <f aca="false">IF($B493="","",Pengaturan!$C$11+SUMIFS(Transaksi!$J$6:$J492,Transaksi!$G$6:$G492,Pengaturan!$F$20)-SUMIFS(Transaksi!$K$6:$K492,Transaksi!$G$6:$G492,Pengaturan!$F$20))</f>
        <v/>
      </c>
      <c r="J493" s="41" t="str">
        <f aca="false">IF($B493="","",H493+I493)</f>
        <v/>
      </c>
    </row>
    <row r="494" customFormat="false" ht="15" hidden="false" customHeight="false" outlineLevel="0" collapsed="false">
      <c r="B494" s="38" t="str">
        <f aca="false">IF(Transaksi!C493="","",Transaksi!C493)</f>
        <v/>
      </c>
      <c r="C494" s="39" t="str">
        <f aca="false">IF(Transaksi!C493="","",Transaksi!D493)</f>
        <v/>
      </c>
      <c r="D494" s="40" t="str">
        <f aca="false">IF(Transaksi!C493="","",Transaksi!H493)</f>
        <v/>
      </c>
      <c r="E494" s="39" t="str">
        <f aca="false">IF(Transaksi!C493="","",Transaksi!G493)</f>
        <v/>
      </c>
      <c r="F494" s="36" t="str">
        <f aca="false">IF(Transaksi!C493="","",Transaksi!J493)</f>
        <v/>
      </c>
      <c r="G494" s="36" t="str">
        <f aca="false">IF(Transaksi!C493="","",Transaksi!K493)</f>
        <v/>
      </c>
      <c r="H494" s="36" t="str">
        <f aca="false">IF($B494="","",Pengaturan!$C$10+SUMIFS(Transaksi!$J$6:$J493,Transaksi!$G$6:$G493,Pengaturan!$F$19)-SUMIFS(Transaksi!$K$6:$K493,Transaksi!$G$6:$G493,Pengaturan!$F$19))</f>
        <v/>
      </c>
      <c r="I494" s="36" t="str">
        <f aca="false">IF($B494="","",Pengaturan!$C$11+SUMIFS(Transaksi!$J$6:$J493,Transaksi!$G$6:$G493,Pengaturan!$F$20)-SUMIFS(Transaksi!$K$6:$K493,Transaksi!$G$6:$G493,Pengaturan!$F$20))</f>
        <v/>
      </c>
      <c r="J494" s="41" t="str">
        <f aca="false">IF($B494="","",H494+I494)</f>
        <v/>
      </c>
    </row>
    <row r="495" customFormat="false" ht="15" hidden="false" customHeight="false" outlineLevel="0" collapsed="false">
      <c r="B495" s="38" t="str">
        <f aca="false">IF(Transaksi!C494="","",Transaksi!C494)</f>
        <v/>
      </c>
      <c r="C495" s="39" t="str">
        <f aca="false">IF(Transaksi!C494="","",Transaksi!D494)</f>
        <v/>
      </c>
      <c r="D495" s="40" t="str">
        <f aca="false">IF(Transaksi!C494="","",Transaksi!H494)</f>
        <v/>
      </c>
      <c r="E495" s="39" t="str">
        <f aca="false">IF(Transaksi!C494="","",Transaksi!G494)</f>
        <v/>
      </c>
      <c r="F495" s="36" t="str">
        <f aca="false">IF(Transaksi!C494="","",Transaksi!J494)</f>
        <v/>
      </c>
      <c r="G495" s="36" t="str">
        <f aca="false">IF(Transaksi!C494="","",Transaksi!K494)</f>
        <v/>
      </c>
      <c r="H495" s="36" t="str">
        <f aca="false">IF($B495="","",Pengaturan!$C$10+SUMIFS(Transaksi!$J$6:$J494,Transaksi!$G$6:$G494,Pengaturan!$F$19)-SUMIFS(Transaksi!$K$6:$K494,Transaksi!$G$6:$G494,Pengaturan!$F$19))</f>
        <v/>
      </c>
      <c r="I495" s="36" t="str">
        <f aca="false">IF($B495="","",Pengaturan!$C$11+SUMIFS(Transaksi!$J$6:$J494,Transaksi!$G$6:$G494,Pengaturan!$F$20)-SUMIFS(Transaksi!$K$6:$K494,Transaksi!$G$6:$G494,Pengaturan!$F$20))</f>
        <v/>
      </c>
      <c r="J495" s="41" t="str">
        <f aca="false">IF($B495="","",H495+I495)</f>
        <v/>
      </c>
    </row>
    <row r="496" customFormat="false" ht="15" hidden="false" customHeight="false" outlineLevel="0" collapsed="false">
      <c r="B496" s="38" t="str">
        <f aca="false">IF(Transaksi!C495="","",Transaksi!C495)</f>
        <v/>
      </c>
      <c r="C496" s="39" t="str">
        <f aca="false">IF(Transaksi!C495="","",Transaksi!D495)</f>
        <v/>
      </c>
      <c r="D496" s="40" t="str">
        <f aca="false">IF(Transaksi!C495="","",Transaksi!H495)</f>
        <v/>
      </c>
      <c r="E496" s="39" t="str">
        <f aca="false">IF(Transaksi!C495="","",Transaksi!G495)</f>
        <v/>
      </c>
      <c r="F496" s="36" t="str">
        <f aca="false">IF(Transaksi!C495="","",Transaksi!J495)</f>
        <v/>
      </c>
      <c r="G496" s="36" t="str">
        <f aca="false">IF(Transaksi!C495="","",Transaksi!K495)</f>
        <v/>
      </c>
      <c r="H496" s="36" t="str">
        <f aca="false">IF($B496="","",Pengaturan!$C$10+SUMIFS(Transaksi!$J$6:$J495,Transaksi!$G$6:$G495,Pengaturan!$F$19)-SUMIFS(Transaksi!$K$6:$K495,Transaksi!$G$6:$G495,Pengaturan!$F$19))</f>
        <v/>
      </c>
      <c r="I496" s="36" t="str">
        <f aca="false">IF($B496="","",Pengaturan!$C$11+SUMIFS(Transaksi!$J$6:$J495,Transaksi!$G$6:$G495,Pengaturan!$F$20)-SUMIFS(Transaksi!$K$6:$K495,Transaksi!$G$6:$G495,Pengaturan!$F$20))</f>
        <v/>
      </c>
      <c r="J496" s="41" t="str">
        <f aca="false">IF($B496="","",H496+I496)</f>
        <v/>
      </c>
    </row>
    <row r="497" customFormat="false" ht="15" hidden="false" customHeight="false" outlineLevel="0" collapsed="false">
      <c r="B497" s="38" t="str">
        <f aca="false">IF(Transaksi!C496="","",Transaksi!C496)</f>
        <v/>
      </c>
      <c r="C497" s="39" t="str">
        <f aca="false">IF(Transaksi!C496="","",Transaksi!D496)</f>
        <v/>
      </c>
      <c r="D497" s="40" t="str">
        <f aca="false">IF(Transaksi!C496="","",Transaksi!H496)</f>
        <v/>
      </c>
      <c r="E497" s="39" t="str">
        <f aca="false">IF(Transaksi!C496="","",Transaksi!G496)</f>
        <v/>
      </c>
      <c r="F497" s="36" t="str">
        <f aca="false">IF(Transaksi!C496="","",Transaksi!J496)</f>
        <v/>
      </c>
      <c r="G497" s="36" t="str">
        <f aca="false">IF(Transaksi!C496="","",Transaksi!K496)</f>
        <v/>
      </c>
      <c r="H497" s="36" t="str">
        <f aca="false">IF($B497="","",Pengaturan!$C$10+SUMIFS(Transaksi!$J$6:$J496,Transaksi!$G$6:$G496,Pengaturan!$F$19)-SUMIFS(Transaksi!$K$6:$K496,Transaksi!$G$6:$G496,Pengaturan!$F$19))</f>
        <v/>
      </c>
      <c r="I497" s="36" t="str">
        <f aca="false">IF($B497="","",Pengaturan!$C$11+SUMIFS(Transaksi!$J$6:$J496,Transaksi!$G$6:$G496,Pengaturan!$F$20)-SUMIFS(Transaksi!$K$6:$K496,Transaksi!$G$6:$G496,Pengaturan!$F$20))</f>
        <v/>
      </c>
      <c r="J497" s="41" t="str">
        <f aca="false">IF($B497="","",H497+I497)</f>
        <v/>
      </c>
    </row>
    <row r="498" customFormat="false" ht="15" hidden="false" customHeight="false" outlineLevel="0" collapsed="false">
      <c r="B498" s="38" t="str">
        <f aca="false">IF(Transaksi!C497="","",Transaksi!C497)</f>
        <v/>
      </c>
      <c r="C498" s="39" t="str">
        <f aca="false">IF(Transaksi!C497="","",Transaksi!D497)</f>
        <v/>
      </c>
      <c r="D498" s="40" t="str">
        <f aca="false">IF(Transaksi!C497="","",Transaksi!H497)</f>
        <v/>
      </c>
      <c r="E498" s="39" t="str">
        <f aca="false">IF(Transaksi!C497="","",Transaksi!G497)</f>
        <v/>
      </c>
      <c r="F498" s="36" t="str">
        <f aca="false">IF(Transaksi!C497="","",Transaksi!J497)</f>
        <v/>
      </c>
      <c r="G498" s="36" t="str">
        <f aca="false">IF(Transaksi!C497="","",Transaksi!K497)</f>
        <v/>
      </c>
      <c r="H498" s="36" t="str">
        <f aca="false">IF($B498="","",Pengaturan!$C$10+SUMIFS(Transaksi!$J$6:$J497,Transaksi!$G$6:$G497,Pengaturan!$F$19)-SUMIFS(Transaksi!$K$6:$K497,Transaksi!$G$6:$G497,Pengaturan!$F$19))</f>
        <v/>
      </c>
      <c r="I498" s="36" t="str">
        <f aca="false">IF($B498="","",Pengaturan!$C$11+SUMIFS(Transaksi!$J$6:$J497,Transaksi!$G$6:$G497,Pengaturan!$F$20)-SUMIFS(Transaksi!$K$6:$K497,Transaksi!$G$6:$G497,Pengaturan!$F$20))</f>
        <v/>
      </c>
      <c r="J498" s="41" t="str">
        <f aca="false">IF($B498="","",H498+I498)</f>
        <v/>
      </c>
    </row>
    <row r="499" customFormat="false" ht="15" hidden="false" customHeight="false" outlineLevel="0" collapsed="false">
      <c r="B499" s="38" t="str">
        <f aca="false">IF(Transaksi!C498="","",Transaksi!C498)</f>
        <v/>
      </c>
      <c r="C499" s="39" t="str">
        <f aca="false">IF(Transaksi!C498="","",Transaksi!D498)</f>
        <v/>
      </c>
      <c r="D499" s="40" t="str">
        <f aca="false">IF(Transaksi!C498="","",Transaksi!H498)</f>
        <v/>
      </c>
      <c r="E499" s="39" t="str">
        <f aca="false">IF(Transaksi!C498="","",Transaksi!G498)</f>
        <v/>
      </c>
      <c r="F499" s="36" t="str">
        <f aca="false">IF(Transaksi!C498="","",Transaksi!J498)</f>
        <v/>
      </c>
      <c r="G499" s="36" t="str">
        <f aca="false">IF(Transaksi!C498="","",Transaksi!K498)</f>
        <v/>
      </c>
      <c r="H499" s="36" t="str">
        <f aca="false">IF($B499="","",Pengaturan!$C$10+SUMIFS(Transaksi!$J$6:$J498,Transaksi!$G$6:$G498,Pengaturan!$F$19)-SUMIFS(Transaksi!$K$6:$K498,Transaksi!$G$6:$G498,Pengaturan!$F$19))</f>
        <v/>
      </c>
      <c r="I499" s="36" t="str">
        <f aca="false">IF($B499="","",Pengaturan!$C$11+SUMIFS(Transaksi!$J$6:$J498,Transaksi!$G$6:$G498,Pengaturan!$F$20)-SUMIFS(Transaksi!$K$6:$K498,Transaksi!$G$6:$G498,Pengaturan!$F$20))</f>
        <v/>
      </c>
      <c r="J499" s="41" t="str">
        <f aca="false">IF($B499="","",H499+I499)</f>
        <v/>
      </c>
    </row>
    <row r="500" customFormat="false" ht="15" hidden="false" customHeight="false" outlineLevel="0" collapsed="false">
      <c r="B500" s="38" t="str">
        <f aca="false">IF(Transaksi!C499="","",Transaksi!C499)</f>
        <v/>
      </c>
      <c r="C500" s="39" t="str">
        <f aca="false">IF(Transaksi!C499="","",Transaksi!D499)</f>
        <v/>
      </c>
      <c r="D500" s="40" t="str">
        <f aca="false">IF(Transaksi!C499="","",Transaksi!H499)</f>
        <v/>
      </c>
      <c r="E500" s="39" t="str">
        <f aca="false">IF(Transaksi!C499="","",Transaksi!G499)</f>
        <v/>
      </c>
      <c r="F500" s="36" t="str">
        <f aca="false">IF(Transaksi!C499="","",Transaksi!J499)</f>
        <v/>
      </c>
      <c r="G500" s="36" t="str">
        <f aca="false">IF(Transaksi!C499="","",Transaksi!K499)</f>
        <v/>
      </c>
      <c r="H500" s="36" t="str">
        <f aca="false">IF($B500="","",Pengaturan!$C$10+SUMIFS(Transaksi!$J$6:$J499,Transaksi!$G$6:$G499,Pengaturan!$F$19)-SUMIFS(Transaksi!$K$6:$K499,Transaksi!$G$6:$G499,Pengaturan!$F$19))</f>
        <v/>
      </c>
      <c r="I500" s="36" t="str">
        <f aca="false">IF($B500="","",Pengaturan!$C$11+SUMIFS(Transaksi!$J$6:$J499,Transaksi!$G$6:$G499,Pengaturan!$F$20)-SUMIFS(Transaksi!$K$6:$K499,Transaksi!$G$6:$G499,Pengaturan!$F$20))</f>
        <v/>
      </c>
      <c r="J500" s="41" t="str">
        <f aca="false">IF($B500="","",H500+I500)</f>
        <v/>
      </c>
    </row>
    <row r="501" customFormat="false" ht="15" hidden="false" customHeight="false" outlineLevel="0" collapsed="false">
      <c r="B501" s="38" t="str">
        <f aca="false">IF(Transaksi!C500="","",Transaksi!C500)</f>
        <v/>
      </c>
      <c r="C501" s="39" t="str">
        <f aca="false">IF(Transaksi!C500="","",Transaksi!D500)</f>
        <v/>
      </c>
      <c r="D501" s="40" t="str">
        <f aca="false">IF(Transaksi!C500="","",Transaksi!H500)</f>
        <v/>
      </c>
      <c r="E501" s="39" t="str">
        <f aca="false">IF(Transaksi!C500="","",Transaksi!G500)</f>
        <v/>
      </c>
      <c r="F501" s="36" t="str">
        <f aca="false">IF(Transaksi!C500="","",Transaksi!J500)</f>
        <v/>
      </c>
      <c r="G501" s="36" t="str">
        <f aca="false">IF(Transaksi!C500="","",Transaksi!K500)</f>
        <v/>
      </c>
      <c r="H501" s="36" t="str">
        <f aca="false">IF($B501="","",Pengaturan!$C$10+SUMIFS(Transaksi!$J$6:$J500,Transaksi!$G$6:$G500,Pengaturan!$F$19)-SUMIFS(Transaksi!$K$6:$K500,Transaksi!$G$6:$G500,Pengaturan!$F$19))</f>
        <v/>
      </c>
      <c r="I501" s="36" t="str">
        <f aca="false">IF($B501="","",Pengaturan!$C$11+SUMIFS(Transaksi!$J$6:$J500,Transaksi!$G$6:$G500,Pengaturan!$F$20)-SUMIFS(Transaksi!$K$6:$K500,Transaksi!$G$6:$G500,Pengaturan!$F$20))</f>
        <v/>
      </c>
      <c r="J501" s="41" t="str">
        <f aca="false">IF($B501="","",H501+I501)</f>
        <v/>
      </c>
    </row>
    <row r="502" customFormat="false" ht="15" hidden="false" customHeight="false" outlineLevel="0" collapsed="false">
      <c r="B502" s="38" t="str">
        <f aca="false">IF(Transaksi!C501="","",Transaksi!C501)</f>
        <v/>
      </c>
      <c r="C502" s="39" t="str">
        <f aca="false">IF(Transaksi!C501="","",Transaksi!D501)</f>
        <v/>
      </c>
      <c r="D502" s="40" t="str">
        <f aca="false">IF(Transaksi!C501="","",Transaksi!H501)</f>
        <v/>
      </c>
      <c r="E502" s="39" t="str">
        <f aca="false">IF(Transaksi!C501="","",Transaksi!G501)</f>
        <v/>
      </c>
      <c r="F502" s="36" t="str">
        <f aca="false">IF(Transaksi!C501="","",Transaksi!J501)</f>
        <v/>
      </c>
      <c r="G502" s="36" t="str">
        <f aca="false">IF(Transaksi!C501="","",Transaksi!K501)</f>
        <v/>
      </c>
      <c r="H502" s="36" t="str">
        <f aca="false">IF($B502="","",Pengaturan!$C$10+SUMIFS(Transaksi!$J$6:$J501,Transaksi!$G$6:$G501,Pengaturan!$F$19)-SUMIFS(Transaksi!$K$6:$K501,Transaksi!$G$6:$G501,Pengaturan!$F$19))</f>
        <v/>
      </c>
      <c r="I502" s="36" t="str">
        <f aca="false">IF($B502="","",Pengaturan!$C$11+SUMIFS(Transaksi!$J$6:$J501,Transaksi!$G$6:$G501,Pengaturan!$F$20)-SUMIFS(Transaksi!$K$6:$K501,Transaksi!$G$6:$G501,Pengaturan!$F$20))</f>
        <v/>
      </c>
      <c r="J502" s="41" t="str">
        <f aca="false">IF($B502="","",H502+I502)</f>
        <v/>
      </c>
    </row>
    <row r="503" customFormat="false" ht="15" hidden="false" customHeight="false" outlineLevel="0" collapsed="false">
      <c r="B503" s="38" t="str">
        <f aca="false">IF(Transaksi!C502="","",Transaksi!C502)</f>
        <v/>
      </c>
      <c r="C503" s="39" t="str">
        <f aca="false">IF(Transaksi!C502="","",Transaksi!D502)</f>
        <v/>
      </c>
      <c r="D503" s="40" t="str">
        <f aca="false">IF(Transaksi!C502="","",Transaksi!H502)</f>
        <v/>
      </c>
      <c r="E503" s="39" t="str">
        <f aca="false">IF(Transaksi!C502="","",Transaksi!G502)</f>
        <v/>
      </c>
      <c r="F503" s="36" t="str">
        <f aca="false">IF(Transaksi!C502="","",Transaksi!J502)</f>
        <v/>
      </c>
      <c r="G503" s="36" t="str">
        <f aca="false">IF(Transaksi!C502="","",Transaksi!K502)</f>
        <v/>
      </c>
      <c r="H503" s="36" t="str">
        <f aca="false">IF($B503="","",Pengaturan!$C$10+SUMIFS(Transaksi!$J$6:$J502,Transaksi!$G$6:$G502,Pengaturan!$F$19)-SUMIFS(Transaksi!$K$6:$K502,Transaksi!$G$6:$G502,Pengaturan!$F$19))</f>
        <v/>
      </c>
      <c r="I503" s="36" t="str">
        <f aca="false">IF($B503="","",Pengaturan!$C$11+SUMIFS(Transaksi!$J$6:$J502,Transaksi!$G$6:$G502,Pengaturan!$F$20)-SUMIFS(Transaksi!$K$6:$K502,Transaksi!$G$6:$G502,Pengaturan!$F$20))</f>
        <v/>
      </c>
      <c r="J503" s="41" t="str">
        <f aca="false">IF($B503="","",H503+I503)</f>
        <v/>
      </c>
    </row>
    <row r="504" customFormat="false" ht="15" hidden="false" customHeight="false" outlineLevel="0" collapsed="false">
      <c r="B504" s="38" t="str">
        <f aca="false">IF(Transaksi!C503="","",Transaksi!C503)</f>
        <v/>
      </c>
      <c r="C504" s="39" t="str">
        <f aca="false">IF(Transaksi!C503="","",Transaksi!D503)</f>
        <v/>
      </c>
      <c r="D504" s="40" t="str">
        <f aca="false">IF(Transaksi!C503="","",Transaksi!H503)</f>
        <v/>
      </c>
      <c r="E504" s="39" t="str">
        <f aca="false">IF(Transaksi!C503="","",Transaksi!G503)</f>
        <v/>
      </c>
      <c r="F504" s="36" t="str">
        <f aca="false">IF(Transaksi!C503="","",Transaksi!J503)</f>
        <v/>
      </c>
      <c r="G504" s="36" t="str">
        <f aca="false">IF(Transaksi!C503="","",Transaksi!K503)</f>
        <v/>
      </c>
      <c r="H504" s="36" t="str">
        <f aca="false">IF($B504="","",Pengaturan!$C$10+SUMIFS(Transaksi!$J$6:$J503,Transaksi!$G$6:$G503,Pengaturan!$F$19)-SUMIFS(Transaksi!$K$6:$K503,Transaksi!$G$6:$G503,Pengaturan!$F$19))</f>
        <v/>
      </c>
      <c r="I504" s="36" t="str">
        <f aca="false">IF($B504="","",Pengaturan!$C$11+SUMIFS(Transaksi!$J$6:$J503,Transaksi!$G$6:$G503,Pengaturan!$F$20)-SUMIFS(Transaksi!$K$6:$K503,Transaksi!$G$6:$G503,Pengaturan!$F$20))</f>
        <v/>
      </c>
      <c r="J504" s="41" t="str">
        <f aca="false">IF($B504="","",H504+I504)</f>
        <v/>
      </c>
    </row>
    <row r="505" customFormat="false" ht="15" hidden="false" customHeight="false" outlineLevel="0" collapsed="false">
      <c r="B505" s="38" t="str">
        <f aca="false">IF(Transaksi!C504="","",Transaksi!C504)</f>
        <v/>
      </c>
      <c r="C505" s="39" t="str">
        <f aca="false">IF(Transaksi!C504="","",Transaksi!D504)</f>
        <v/>
      </c>
      <c r="D505" s="40" t="str">
        <f aca="false">IF(Transaksi!C504="","",Transaksi!H504)</f>
        <v/>
      </c>
      <c r="E505" s="39" t="str">
        <f aca="false">IF(Transaksi!C504="","",Transaksi!G504)</f>
        <v/>
      </c>
      <c r="F505" s="36" t="str">
        <f aca="false">IF(Transaksi!C504="","",Transaksi!J504)</f>
        <v/>
      </c>
      <c r="G505" s="36" t="str">
        <f aca="false">IF(Transaksi!C504="","",Transaksi!K504)</f>
        <v/>
      </c>
      <c r="H505" s="36" t="str">
        <f aca="false">IF($B505="","",Pengaturan!$C$10+SUMIFS(Transaksi!$J$6:$J504,Transaksi!$G$6:$G504,Pengaturan!$F$19)-SUMIFS(Transaksi!$K$6:$K504,Transaksi!$G$6:$G504,Pengaturan!$F$19))</f>
        <v/>
      </c>
      <c r="I505" s="36" t="str">
        <f aca="false">IF($B505="","",Pengaturan!$C$11+SUMIFS(Transaksi!$J$6:$J504,Transaksi!$G$6:$G504,Pengaturan!$F$20)-SUMIFS(Transaksi!$K$6:$K504,Transaksi!$G$6:$G504,Pengaturan!$F$20))</f>
        <v/>
      </c>
      <c r="J505" s="41" t="str">
        <f aca="false">IF($B505="","",H505+I505)</f>
        <v/>
      </c>
    </row>
    <row r="506" customFormat="false" ht="15" hidden="false" customHeight="false" outlineLevel="0" collapsed="false">
      <c r="B506" s="38" t="str">
        <f aca="false">IF(Transaksi!C505="","",Transaksi!C505)</f>
        <v/>
      </c>
      <c r="C506" s="39" t="str">
        <f aca="false">IF(Transaksi!C505="","",Transaksi!D505)</f>
        <v/>
      </c>
      <c r="D506" s="40" t="str">
        <f aca="false">IF(Transaksi!C505="","",Transaksi!H505)</f>
        <v/>
      </c>
      <c r="E506" s="39" t="str">
        <f aca="false">IF(Transaksi!C505="","",Transaksi!G505)</f>
        <v/>
      </c>
      <c r="F506" s="36" t="str">
        <f aca="false">IF(Transaksi!C505="","",Transaksi!J505)</f>
        <v/>
      </c>
      <c r="G506" s="36" t="str">
        <f aca="false">IF(Transaksi!C505="","",Transaksi!K505)</f>
        <v/>
      </c>
      <c r="H506" s="36" t="str">
        <f aca="false">IF($B506="","",Pengaturan!$C$10+SUMIFS(Transaksi!$J$6:$J505,Transaksi!$G$6:$G505,Pengaturan!$F$19)-SUMIFS(Transaksi!$K$6:$K505,Transaksi!$G$6:$G505,Pengaturan!$F$19))</f>
        <v/>
      </c>
      <c r="I506" s="36" t="str">
        <f aca="false">IF($B506="","",Pengaturan!$C$11+SUMIFS(Transaksi!$J$6:$J505,Transaksi!$G$6:$G505,Pengaturan!$F$20)-SUMIFS(Transaksi!$K$6:$K505,Transaksi!$G$6:$G505,Pengaturan!$F$20))</f>
        <v/>
      </c>
      <c r="J506" s="41" t="str">
        <f aca="false">IF($B506="","",H506+I506)</f>
        <v/>
      </c>
    </row>
  </sheetData>
  <mergeCells count="3">
    <mergeCell ref="B1:J1"/>
    <mergeCell ref="B2:J2"/>
    <mergeCell ref="B6:G6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0000"/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1"/>
      <c r="B2" s="3" t="str">
        <f aca="false">"REKAP BULANAN — pemasukan, pengeluaran &amp; saldo per bulan  •  Tahun Buku "&amp;Pengaturan!$C$6</f>
        <v>REKAP BULANAN — pemasukan, pengeluaran &amp; saldo per bulan  •  Tahun Buku 2026</v>
      </c>
      <c r="C2" s="3"/>
      <c r="D2" s="3"/>
      <c r="E2" s="3"/>
      <c r="F2" s="3"/>
      <c r="G2" s="3"/>
      <c r="H2" s="3"/>
      <c r="I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  <c r="G3" s="4"/>
      <c r="H3" s="4"/>
      <c r="I3" s="4"/>
    </row>
    <row r="5" customFormat="false" ht="31.5" hidden="false" customHeight="true" outlineLevel="0" collapsed="false">
      <c r="B5" s="30" t="s">
        <v>27</v>
      </c>
      <c r="C5" s="30" t="s">
        <v>34</v>
      </c>
      <c r="D5" s="30" t="s">
        <v>162</v>
      </c>
      <c r="E5" s="30" t="s">
        <v>32</v>
      </c>
      <c r="F5" s="30" t="s">
        <v>33</v>
      </c>
      <c r="G5" s="30" t="s">
        <v>163</v>
      </c>
      <c r="H5" s="30" t="s">
        <v>164</v>
      </c>
      <c r="I5" s="30" t="s">
        <v>165</v>
      </c>
    </row>
    <row r="6" customFormat="false" ht="15" hidden="false" customHeight="false" outlineLevel="0" collapsed="false">
      <c r="B6" s="42" t="n">
        <v>1</v>
      </c>
      <c r="C6" s="43" t="str">
        <f aca="false">INDEX(Pengaturan!$H$19:$H$30,B6)</f>
        <v>Januari</v>
      </c>
      <c r="D6" s="36" t="n">
        <f aca="false">Pengaturan!$C$10+Pengaturan!$C$11</f>
        <v>30000000</v>
      </c>
      <c r="E6" s="36" t="n">
        <f aca="false">SUMIFS(Transaksi!$J$6:$J$505,Transaksi!$L$6:$L$505,B6)</f>
        <v>2000000</v>
      </c>
      <c r="F6" s="36" t="n">
        <f aca="false">SUMIFS(Transaksi!$K$6:$K$505,Transaksi!$L$6:$L$505,B6)</f>
        <v>2565000</v>
      </c>
      <c r="G6" s="36" t="n">
        <f aca="false">E6-F6</f>
        <v>-565000</v>
      </c>
      <c r="H6" s="41" t="n">
        <f aca="false">D6+G6</f>
        <v>29435000</v>
      </c>
      <c r="I6" s="44" t="n">
        <f aca="false">IF(E6=0,0,F6/E6)</f>
        <v>1.2825</v>
      </c>
    </row>
    <row r="7" customFormat="false" ht="15" hidden="false" customHeight="false" outlineLevel="0" collapsed="false">
      <c r="B7" s="42" t="n">
        <v>2</v>
      </c>
      <c r="C7" s="43" t="str">
        <f aca="false">INDEX(Pengaturan!$H$19:$H$30,B7)</f>
        <v>Februari</v>
      </c>
      <c r="D7" s="36" t="n">
        <f aca="false">H6</f>
        <v>29435000</v>
      </c>
      <c r="E7" s="36" t="n">
        <f aca="false">SUMIFS(Transaksi!$J$6:$J$505,Transaksi!$L$6:$L$505,B7)</f>
        <v>8500000</v>
      </c>
      <c r="F7" s="36" t="n">
        <f aca="false">SUMIFS(Transaksi!$K$6:$K$505,Transaksi!$L$6:$L$505,B7)</f>
        <v>6515000</v>
      </c>
      <c r="G7" s="36" t="n">
        <f aca="false">E7-F7</f>
        <v>1985000</v>
      </c>
      <c r="H7" s="41" t="n">
        <f aca="false">D7+G7</f>
        <v>31420000</v>
      </c>
      <c r="I7" s="44" t="n">
        <f aca="false">IF(E7=0,0,F7/E7)</f>
        <v>0.766470588235294</v>
      </c>
    </row>
    <row r="8" customFormat="false" ht="15" hidden="false" customHeight="false" outlineLevel="0" collapsed="false">
      <c r="B8" s="42" t="n">
        <v>3</v>
      </c>
      <c r="C8" s="43" t="str">
        <f aca="false">INDEX(Pengaturan!$H$19:$H$30,B8)</f>
        <v>Maret</v>
      </c>
      <c r="D8" s="36" t="n">
        <f aca="false">H7</f>
        <v>31420000</v>
      </c>
      <c r="E8" s="36" t="n">
        <f aca="false">SUMIFS(Transaksi!$J$6:$J$505,Transaksi!$L$6:$L$505,B8)</f>
        <v>3245000</v>
      </c>
      <c r="F8" s="36" t="n">
        <f aca="false">SUMIFS(Transaksi!$K$6:$K$505,Transaksi!$L$6:$L$505,B8)</f>
        <v>1215000</v>
      </c>
      <c r="G8" s="36" t="n">
        <f aca="false">E8-F8</f>
        <v>2030000</v>
      </c>
      <c r="H8" s="41" t="n">
        <f aca="false">D8+G8</f>
        <v>33450000</v>
      </c>
      <c r="I8" s="44" t="n">
        <f aca="false">IF(E8=0,0,F8/E8)</f>
        <v>0.37442218798151</v>
      </c>
    </row>
    <row r="9" customFormat="false" ht="15" hidden="false" customHeight="false" outlineLevel="0" collapsed="false">
      <c r="B9" s="42" t="n">
        <v>4</v>
      </c>
      <c r="C9" s="43" t="str">
        <f aca="false">INDEX(Pengaturan!$H$19:$H$30,B9)</f>
        <v>April</v>
      </c>
      <c r="D9" s="36" t="n">
        <f aca="false">H8</f>
        <v>33450000</v>
      </c>
      <c r="E9" s="36" t="n">
        <f aca="false">SUMIFS(Transaksi!$J$6:$J$505,Transaksi!$L$6:$L$505,B9)</f>
        <v>0</v>
      </c>
      <c r="F9" s="36" t="n">
        <f aca="false">SUMIFS(Transaksi!$K$6:$K$505,Transaksi!$L$6:$L$505,B9)</f>
        <v>3515000</v>
      </c>
      <c r="G9" s="36" t="n">
        <f aca="false">E9-F9</f>
        <v>-3515000</v>
      </c>
      <c r="H9" s="41" t="n">
        <f aca="false">D9+G9</f>
        <v>29935000</v>
      </c>
      <c r="I9" s="44" t="n">
        <f aca="false">IF(E9=0,0,F9/E9)</f>
        <v>0</v>
      </c>
    </row>
    <row r="10" customFormat="false" ht="15" hidden="false" customHeight="false" outlineLevel="0" collapsed="false">
      <c r="B10" s="42" t="n">
        <v>5</v>
      </c>
      <c r="C10" s="43" t="str">
        <f aca="false">INDEX(Pengaturan!$H$19:$H$30,B10)</f>
        <v>Mei</v>
      </c>
      <c r="D10" s="36" t="n">
        <f aca="false">H9</f>
        <v>29935000</v>
      </c>
      <c r="E10" s="36" t="n">
        <f aca="false">SUMIFS(Transaksi!$J$6:$J$505,Transaksi!$L$6:$L$505,B10)</f>
        <v>0</v>
      </c>
      <c r="F10" s="36" t="n">
        <f aca="false">SUMIFS(Transaksi!$K$6:$K$505,Transaksi!$L$6:$L$505,B10)</f>
        <v>365000</v>
      </c>
      <c r="G10" s="36" t="n">
        <f aca="false">E10-F10</f>
        <v>-365000</v>
      </c>
      <c r="H10" s="41" t="n">
        <f aca="false">D10+G10</f>
        <v>29570000</v>
      </c>
      <c r="I10" s="44" t="n">
        <f aca="false">IF(E10=0,0,F10/E10)</f>
        <v>0</v>
      </c>
    </row>
    <row r="11" customFormat="false" ht="15" hidden="false" customHeight="false" outlineLevel="0" collapsed="false">
      <c r="B11" s="42" t="n">
        <v>6</v>
      </c>
      <c r="C11" s="43" t="str">
        <f aca="false">INDEX(Pengaturan!$H$19:$H$30,B11)</f>
        <v>Juni</v>
      </c>
      <c r="D11" s="36" t="n">
        <f aca="false">H10</f>
        <v>29570000</v>
      </c>
      <c r="E11" s="36" t="n">
        <f aca="false">SUMIFS(Transaksi!$J$6:$J$505,Transaksi!$L$6:$L$505,B11)</f>
        <v>5548000</v>
      </c>
      <c r="F11" s="36" t="n">
        <f aca="false">SUMIFS(Transaksi!$K$6:$K$505,Transaksi!$L$6:$L$505,B11)</f>
        <v>8315000</v>
      </c>
      <c r="G11" s="36" t="n">
        <f aca="false">E11-F11</f>
        <v>-2767000</v>
      </c>
      <c r="H11" s="41" t="n">
        <f aca="false">D11+G11</f>
        <v>26803000</v>
      </c>
      <c r="I11" s="44" t="n">
        <f aca="false">IF(E11=0,0,F11/E11)</f>
        <v>1.49873828406633</v>
      </c>
    </row>
    <row r="12" customFormat="false" ht="15" hidden="false" customHeight="false" outlineLevel="0" collapsed="false">
      <c r="B12" s="42" t="n">
        <v>7</v>
      </c>
      <c r="C12" s="43" t="str">
        <f aca="false">INDEX(Pengaturan!$H$19:$H$30,B12)</f>
        <v>Juli</v>
      </c>
      <c r="D12" s="36" t="n">
        <f aca="false">H11</f>
        <v>26803000</v>
      </c>
      <c r="E12" s="36" t="n">
        <f aca="false">SUMIFS(Transaksi!$J$6:$J$505,Transaksi!$L$6:$L$505,B12)</f>
        <v>0</v>
      </c>
      <c r="F12" s="36" t="n">
        <f aca="false">SUMIFS(Transaksi!$K$6:$K$505,Transaksi!$L$6:$L$505,B12)</f>
        <v>1515000</v>
      </c>
      <c r="G12" s="36" t="n">
        <f aca="false">E12-F12</f>
        <v>-1515000</v>
      </c>
      <c r="H12" s="41" t="n">
        <f aca="false">D12+G12</f>
        <v>25288000</v>
      </c>
      <c r="I12" s="44" t="n">
        <f aca="false">IF(E12=0,0,F12/E12)</f>
        <v>0</v>
      </c>
    </row>
    <row r="13" customFormat="false" ht="15" hidden="false" customHeight="false" outlineLevel="0" collapsed="false">
      <c r="B13" s="42" t="n">
        <v>8</v>
      </c>
      <c r="C13" s="43" t="str">
        <f aca="false">INDEX(Pengaturan!$H$19:$H$30,B13)</f>
        <v>Agustus</v>
      </c>
      <c r="D13" s="36" t="n">
        <f aca="false">H12</f>
        <v>25288000</v>
      </c>
      <c r="E13" s="36" t="n">
        <f aca="false">SUMIFS(Transaksi!$J$6:$J$505,Transaksi!$L$6:$L$505,B13)</f>
        <v>1500000</v>
      </c>
      <c r="F13" s="36" t="n">
        <f aca="false">SUMIFS(Transaksi!$K$6:$K$505,Transaksi!$L$6:$L$505,B13)</f>
        <v>1315000</v>
      </c>
      <c r="G13" s="36" t="n">
        <f aca="false">E13-F13</f>
        <v>185000</v>
      </c>
      <c r="H13" s="41" t="n">
        <f aca="false">D13+G13</f>
        <v>25473000</v>
      </c>
      <c r="I13" s="44" t="n">
        <f aca="false">IF(E13=0,0,F13/E13)</f>
        <v>0.876666666666667</v>
      </c>
    </row>
    <row r="14" customFormat="false" ht="15" hidden="false" customHeight="false" outlineLevel="0" collapsed="false">
      <c r="B14" s="42" t="n">
        <v>9</v>
      </c>
      <c r="C14" s="43" t="str">
        <f aca="false">INDEX(Pengaturan!$H$19:$H$30,B14)</f>
        <v>September</v>
      </c>
      <c r="D14" s="36" t="n">
        <f aca="false">H13</f>
        <v>25473000</v>
      </c>
      <c r="E14" s="36" t="n">
        <f aca="false">SUMIFS(Transaksi!$J$6:$J$505,Transaksi!$L$6:$L$505,B14)</f>
        <v>50000</v>
      </c>
      <c r="F14" s="36" t="n">
        <f aca="false">SUMIFS(Transaksi!$K$6:$K$505,Transaksi!$L$6:$L$505,B14)</f>
        <v>2765000</v>
      </c>
      <c r="G14" s="36" t="n">
        <f aca="false">E14-F14</f>
        <v>-2715000</v>
      </c>
      <c r="H14" s="41" t="n">
        <f aca="false">D14+G14</f>
        <v>22758000</v>
      </c>
      <c r="I14" s="44" t="n">
        <f aca="false">IF(E14=0,0,F14/E14)</f>
        <v>55.3</v>
      </c>
    </row>
    <row r="15" customFormat="false" ht="15" hidden="false" customHeight="false" outlineLevel="0" collapsed="false">
      <c r="B15" s="42" t="n">
        <v>10</v>
      </c>
      <c r="C15" s="43" t="str">
        <f aca="false">INDEX(Pengaturan!$H$19:$H$30,B15)</f>
        <v>Oktober</v>
      </c>
      <c r="D15" s="36" t="n">
        <f aca="false">H14</f>
        <v>22758000</v>
      </c>
      <c r="E15" s="36" t="n">
        <f aca="false">SUMIFS(Transaksi!$J$6:$J$505,Transaksi!$L$6:$L$505,B15)</f>
        <v>0</v>
      </c>
      <c r="F15" s="36" t="n">
        <f aca="false">SUMIFS(Transaksi!$K$6:$K$505,Transaksi!$L$6:$L$505,B15)</f>
        <v>2445000</v>
      </c>
      <c r="G15" s="36" t="n">
        <f aca="false">E15-F15</f>
        <v>-2445000</v>
      </c>
      <c r="H15" s="41" t="n">
        <f aca="false">D15+G15</f>
        <v>20313000</v>
      </c>
      <c r="I15" s="44" t="n">
        <f aca="false">IF(E15=0,0,F15/E15)</f>
        <v>0</v>
      </c>
    </row>
    <row r="16" customFormat="false" ht="15" hidden="false" customHeight="false" outlineLevel="0" collapsed="false">
      <c r="B16" s="42" t="n">
        <v>11</v>
      </c>
      <c r="C16" s="43" t="str">
        <f aca="false">INDEX(Pengaturan!$H$19:$H$30,B16)</f>
        <v>November</v>
      </c>
      <c r="D16" s="36" t="n">
        <f aca="false">H15</f>
        <v>20313000</v>
      </c>
      <c r="E16" s="36" t="n">
        <f aca="false">SUMIFS(Transaksi!$J$6:$J$505,Transaksi!$L$6:$L$505,B16)</f>
        <v>0</v>
      </c>
      <c r="F16" s="36" t="n">
        <f aca="false">SUMIFS(Transaksi!$K$6:$K$505,Transaksi!$L$6:$L$505,B16)</f>
        <v>0</v>
      </c>
      <c r="G16" s="36" t="n">
        <f aca="false">E16-F16</f>
        <v>0</v>
      </c>
      <c r="H16" s="41" t="n">
        <f aca="false">D16+G16</f>
        <v>20313000</v>
      </c>
      <c r="I16" s="44" t="n">
        <f aca="false">IF(E16=0,0,F16/E16)</f>
        <v>0</v>
      </c>
    </row>
    <row r="17" customFormat="false" ht="15" hidden="false" customHeight="false" outlineLevel="0" collapsed="false">
      <c r="B17" s="42" t="n">
        <v>12</v>
      </c>
      <c r="C17" s="43" t="str">
        <f aca="false">INDEX(Pengaturan!$H$19:$H$30,B17)</f>
        <v>Desember</v>
      </c>
      <c r="D17" s="36" t="n">
        <f aca="false">H16</f>
        <v>20313000</v>
      </c>
      <c r="E17" s="36" t="n">
        <f aca="false">SUMIFS(Transaksi!$J$6:$J$505,Transaksi!$L$6:$L$505,B17)</f>
        <v>0</v>
      </c>
      <c r="F17" s="36" t="n">
        <f aca="false">SUMIFS(Transaksi!$K$6:$K$505,Transaksi!$L$6:$L$505,B17)</f>
        <v>0</v>
      </c>
      <c r="G17" s="36" t="n">
        <f aca="false">E17-F17</f>
        <v>0</v>
      </c>
      <c r="H17" s="41" t="n">
        <f aca="false">D17+G17</f>
        <v>20313000</v>
      </c>
      <c r="I17" s="44" t="n">
        <f aca="false">IF(E17=0,0,F17/E17)</f>
        <v>0</v>
      </c>
    </row>
    <row r="18" customFormat="false" ht="15" hidden="false" customHeight="true" outlineLevel="0" collapsed="false">
      <c r="B18" s="45" t="s">
        <v>166</v>
      </c>
      <c r="C18" s="45"/>
      <c r="D18" s="46" t="n">
        <f aca="false">D6</f>
        <v>30000000</v>
      </c>
      <c r="E18" s="46" t="n">
        <f aca="false">SUM(E6:E17)</f>
        <v>20843000</v>
      </c>
      <c r="F18" s="46" t="n">
        <f aca="false">SUM(F6:F17)</f>
        <v>30530000</v>
      </c>
      <c r="G18" s="46" t="n">
        <f aca="false">SUM(G6:G17)</f>
        <v>-9687000</v>
      </c>
      <c r="H18" s="46" t="n">
        <f aca="false">D18+G18</f>
        <v>20313000</v>
      </c>
      <c r="I18" s="47" t="n">
        <f aca="false">IF(E18=0,0,F18/E18)</f>
        <v>1.46476035119704</v>
      </c>
    </row>
    <row r="19" customFormat="false" ht="7.5" hidden="false" customHeight="true" outlineLevel="0" collapsed="false"/>
    <row r="20" customFormat="false" ht="15" hidden="false" customHeight="false" outlineLevel="0" collapsed="false">
      <c r="B20" s="26" t="s">
        <v>167</v>
      </c>
    </row>
  </sheetData>
  <mergeCells count="3">
    <mergeCell ref="B1:I1"/>
    <mergeCell ref="B2:I2"/>
    <mergeCell ref="B18:C18"/>
  </mergeCells>
  <conditionalFormatting sqref="G6:G17">
    <cfRule type="cellIs" priority="2" operator="lessThan" aboveAverage="0" equalAverage="0" bottom="0" percent="0" rank="0" text="" dxfId="3">
      <formula>0</formula>
    </cfRule>
    <cfRule type="cellIs" priority="3" operator="greaterThan" aboveAverage="0" equalAverage="0" bottom="0" percent="0" rank="0" text="" dxfId="2">
      <formula>0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B2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6" min="4" style="0" width="20"/>
    <col collapsed="false" customWidth="true" hidden="false" outlineLevel="0" max="8" min="7" style="0" width="14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1"/>
      <c r="B2" s="3" t="str">
        <f aca="false">"ANGGARAN vs REALISASI — target tahunan dibanding data Transaksi  •  Tahun Buku "&amp;Pengaturan!$C$6</f>
        <v>ANGGARAN vs REALISASI — target tahunan dibanding data Transaksi  •  Tahun Buku 2026</v>
      </c>
      <c r="C2" s="3"/>
      <c r="D2" s="3"/>
      <c r="E2" s="3"/>
      <c r="F2" s="3"/>
      <c r="G2" s="3"/>
      <c r="H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B4" s="10" t="s">
        <v>168</v>
      </c>
    </row>
    <row r="5" customFormat="false" ht="30" hidden="false" customHeight="true" outlineLevel="0" collapsed="false">
      <c r="B5" s="30" t="s">
        <v>27</v>
      </c>
      <c r="C5" s="30" t="s">
        <v>29</v>
      </c>
      <c r="D5" s="30" t="s">
        <v>169</v>
      </c>
      <c r="E5" s="30" t="s">
        <v>170</v>
      </c>
      <c r="F5" s="30" t="s">
        <v>171</v>
      </c>
      <c r="G5" s="30" t="s">
        <v>172</v>
      </c>
      <c r="H5" s="30" t="s">
        <v>173</v>
      </c>
    </row>
    <row r="6" customFormat="false" ht="15" hidden="false" customHeight="false" outlineLevel="0" collapsed="false">
      <c r="B6" s="42" t="n">
        <f aca="false">IF(C6="","",1)</f>
        <v>1</v>
      </c>
      <c r="C6" s="43" t="str">
        <f aca="false">IF(Pengaturan!$B$19="","",Pengaturan!$B$19)</f>
        <v>Donasi</v>
      </c>
      <c r="D6" s="35" t="n">
        <v>4000000</v>
      </c>
      <c r="E6" s="36" t="n">
        <f aca="false">IF(C6="","",SUMIFS(Transaksi!$J$6:$J$505,Transaksi!$F$6:$F$505,C6))</f>
        <v>3500000</v>
      </c>
      <c r="F6" s="36" t="n">
        <f aca="false">IF(C6="","",E6-N(D6))</f>
        <v>-500000</v>
      </c>
      <c r="G6" s="44" t="n">
        <f aca="false">IF(C6="","",IF(N(D6)=0,0,E6/D6))</f>
        <v>0.875</v>
      </c>
      <c r="H6" s="48" t="str">
        <f aca="false">IF(C6="","",IF(G6&gt;=1,"Tercapai",IF(G6&gt;=0.5,"Berjalan","Rendah")))</f>
        <v>Berjalan</v>
      </c>
    </row>
    <row r="7" customFormat="false" ht="15" hidden="false" customHeight="false" outlineLevel="0" collapsed="false">
      <c r="B7" s="42" t="n">
        <f aca="false">IF(C7="","",2)</f>
        <v>2</v>
      </c>
      <c r="C7" s="43" t="str">
        <f aca="false">IF(Pengaturan!$B$20="","",Pengaturan!$B$20)</f>
        <v>Sponsor</v>
      </c>
      <c r="D7" s="35" t="n">
        <v>8000000</v>
      </c>
      <c r="E7" s="36" t="n">
        <f aca="false">IF(C7="","",SUMIFS(Transaksi!$J$6:$J$505,Transaksi!$F$6:$F$505,C7))</f>
        <v>5000000</v>
      </c>
      <c r="F7" s="36" t="n">
        <f aca="false">IF(C7="","",E7-N(D7))</f>
        <v>-3000000</v>
      </c>
      <c r="G7" s="44" t="n">
        <f aca="false">IF(C7="","",IF(N(D7)=0,0,E7/D7))</f>
        <v>0.625</v>
      </c>
      <c r="H7" s="48" t="str">
        <f aca="false">IF(C7="","",IF(G7&gt;=1,"Tercapai",IF(G7&gt;=0.5,"Berjalan","Rendah")))</f>
        <v>Berjalan</v>
      </c>
    </row>
    <row r="8" customFormat="false" ht="15" hidden="false" customHeight="false" outlineLevel="0" collapsed="false">
      <c r="B8" s="42" t="n">
        <f aca="false">IF(C8="","",3)</f>
        <v>3</v>
      </c>
      <c r="C8" s="43" t="str">
        <f aca="false">IF(Pengaturan!$B$21="","",Pengaturan!$B$21)</f>
        <v>Pendaftaran / Tiket Event</v>
      </c>
      <c r="D8" s="35" t="n">
        <v>7000000</v>
      </c>
      <c r="E8" s="36" t="n">
        <f aca="false">IF(C8="","",SUMIFS(Transaksi!$J$6:$J$505,Transaksi!$F$6:$F$505,C8))</f>
        <v>5000000</v>
      </c>
      <c r="F8" s="36" t="n">
        <f aca="false">IF(C8="","",E8-N(D8))</f>
        <v>-2000000</v>
      </c>
      <c r="G8" s="44" t="n">
        <f aca="false">IF(C8="","",IF(N(D8)=0,0,E8/D8))</f>
        <v>0.714285714285714</v>
      </c>
      <c r="H8" s="48" t="str">
        <f aca="false">IF(C8="","",IF(G8&gt;=1,"Tercapai",IF(G8&gt;=0.5,"Berjalan","Rendah")))</f>
        <v>Berjalan</v>
      </c>
    </row>
    <row r="9" customFormat="false" ht="15" hidden="false" customHeight="false" outlineLevel="0" collapsed="false">
      <c r="B9" s="42" t="n">
        <f aca="false">IF(C9="","",4)</f>
        <v>4</v>
      </c>
      <c r="C9" s="43" t="str">
        <f aca="false">IF(Pengaturan!$B$22="","",Pengaturan!$B$22)</f>
        <v>Hasil Usaha / Bazar</v>
      </c>
      <c r="D9" s="35" t="n">
        <v>4000000</v>
      </c>
      <c r="E9" s="36" t="n">
        <f aca="false">IF(C9="","",SUMIFS(Transaksi!$J$6:$J$505,Transaksi!$F$6:$F$505,C9))</f>
        <v>3200000</v>
      </c>
      <c r="F9" s="36" t="n">
        <f aca="false">IF(C9="","",E9-N(D9))</f>
        <v>-800000</v>
      </c>
      <c r="G9" s="44" t="n">
        <f aca="false">IF(C9="","",IF(N(D9)=0,0,E9/D9))</f>
        <v>0.8</v>
      </c>
      <c r="H9" s="48" t="str">
        <f aca="false">IF(C9="","",IF(G9&gt;=1,"Tercapai",IF(G9&gt;=0.5,"Berjalan","Rendah")))</f>
        <v>Berjalan</v>
      </c>
    </row>
    <row r="10" customFormat="false" ht="15" hidden="false" customHeight="false" outlineLevel="0" collapsed="false">
      <c r="B10" s="42" t="n">
        <f aca="false">IF(C10="","",5)</f>
        <v>5</v>
      </c>
      <c r="C10" s="43" t="str">
        <f aca="false">IF(Pengaturan!$B$23="","",Pengaturan!$B$23)</f>
        <v>Hibah / Bantuan</v>
      </c>
      <c r="D10" s="35" t="n">
        <v>4000000</v>
      </c>
      <c r="E10" s="36" t="n">
        <f aca="false">IF(C10="","",SUMIFS(Transaksi!$J$6:$J$505,Transaksi!$F$6:$F$505,C10))</f>
        <v>4000000</v>
      </c>
      <c r="F10" s="36" t="n">
        <f aca="false">IF(C10="","",E10-N(D10))</f>
        <v>0</v>
      </c>
      <c r="G10" s="44" t="n">
        <f aca="false">IF(C10="","",IF(N(D10)=0,0,E10/D10))</f>
        <v>1</v>
      </c>
      <c r="H10" s="48" t="str">
        <f aca="false">IF(C10="","",IF(G10&gt;=1,"Tercapai",IF(G10&gt;=0.5,"Berjalan","Rendah")))</f>
        <v>Tercapai</v>
      </c>
    </row>
    <row r="11" customFormat="false" ht="15" hidden="false" customHeight="false" outlineLevel="0" collapsed="false">
      <c r="B11" s="42" t="n">
        <f aca="false">IF(C11="","",6)</f>
        <v>6</v>
      </c>
      <c r="C11" s="43" t="str">
        <f aca="false">IF(Pengaturan!$B$24="","",Pengaturan!$B$24)</f>
        <v>Bunga Bank</v>
      </c>
      <c r="D11" s="35" t="n">
        <v>200000</v>
      </c>
      <c r="E11" s="36" t="n">
        <f aca="false">IF(C11="","",SUMIFS(Transaksi!$J$6:$J$505,Transaksi!$F$6:$F$505,C11))</f>
        <v>143000</v>
      </c>
      <c r="F11" s="36" t="n">
        <f aca="false">IF(C11="","",E11-N(D11))</f>
        <v>-57000</v>
      </c>
      <c r="G11" s="44" t="n">
        <f aca="false">IF(C11="","",IF(N(D11)=0,0,E11/D11))</f>
        <v>0.715</v>
      </c>
      <c r="H11" s="48" t="str">
        <f aca="false">IF(C11="","",IF(G11&gt;=1,"Tercapai",IF(G11&gt;=0.5,"Berjalan","Rendah")))</f>
        <v>Berjalan</v>
      </c>
    </row>
    <row r="12" customFormat="false" ht="15" hidden="false" customHeight="false" outlineLevel="0" collapsed="false">
      <c r="B12" s="42" t="n">
        <f aca="false">IF(C12="","",7)</f>
        <v>7</v>
      </c>
      <c r="C12" s="43" t="str">
        <f aca="false">IF(Pengaturan!$B$25="","",Pengaturan!$B$25)</f>
        <v>Pemasukan Lain-lain</v>
      </c>
      <c r="D12" s="35" t="n">
        <v>500000</v>
      </c>
      <c r="E12" s="36" t="n">
        <f aca="false">IF(C12="","",SUMIFS(Transaksi!$J$6:$J$505,Transaksi!$F$6:$F$505,C12))</f>
        <v>0</v>
      </c>
      <c r="F12" s="36" t="n">
        <f aca="false">IF(C12="","",E12-N(D12))</f>
        <v>-500000</v>
      </c>
      <c r="G12" s="44" t="n">
        <f aca="false">IF(C12="","",IF(N(D12)=0,0,E12/D12))</f>
        <v>0</v>
      </c>
      <c r="H12" s="48" t="str">
        <f aca="false">IF(C12="","",IF(G12&gt;=1,"Tercapai",IF(G12&gt;=0.5,"Berjalan","Rendah")))</f>
        <v>Rendah</v>
      </c>
    </row>
    <row r="13" customFormat="false" ht="15" hidden="false" customHeight="false" outlineLevel="0" collapsed="false">
      <c r="B13" s="42" t="str">
        <f aca="false">IF(C13="","",8)</f>
        <v/>
      </c>
      <c r="C13" s="43" t="str">
        <f aca="false">IF(Pengaturan!$B$26="","",Pengaturan!$B$26)</f>
        <v/>
      </c>
      <c r="D13" s="35"/>
      <c r="E13" s="36" t="str">
        <f aca="false">IF(C13="","",SUMIFS(Transaksi!$J$6:$J$505,Transaksi!$F$6:$F$505,C13))</f>
        <v/>
      </c>
      <c r="F13" s="36" t="str">
        <f aca="false">IF(C13="","",E13-N(D13))</f>
        <v/>
      </c>
      <c r="G13" s="44" t="str">
        <f aca="false">IF(C13="","",IF(N(D13)=0,0,E13/D13))</f>
        <v/>
      </c>
      <c r="H13" s="48" t="str">
        <f aca="false">IF(C13="","",IF(G13&gt;=1,"Tercapai",IF(G13&gt;=0.5,"Berjalan","Rendah")))</f>
        <v/>
      </c>
    </row>
    <row r="14" customFormat="false" ht="15" hidden="false" customHeight="true" outlineLevel="0" collapsed="false">
      <c r="B14" s="45" t="s">
        <v>2</v>
      </c>
      <c r="C14" s="45"/>
      <c r="D14" s="46" t="n">
        <f aca="false">SUM(D6:D13)</f>
        <v>27700000</v>
      </c>
      <c r="E14" s="46" t="n">
        <f aca="false">SUM(E6:E13)</f>
        <v>20843000</v>
      </c>
      <c r="F14" s="46" t="n">
        <f aca="false">E14-D14</f>
        <v>-6857000</v>
      </c>
      <c r="G14" s="47" t="n">
        <f aca="false">IF(D14=0,0,E14/D14)</f>
        <v>0.752454873646209</v>
      </c>
      <c r="H14" s="49"/>
    </row>
    <row r="17" customFormat="false" ht="15" hidden="false" customHeight="false" outlineLevel="0" collapsed="false">
      <c r="B17" s="10" t="s">
        <v>174</v>
      </c>
    </row>
    <row r="18" customFormat="false" ht="30" hidden="false" customHeight="true" outlineLevel="0" collapsed="false">
      <c r="B18" s="30" t="s">
        <v>27</v>
      </c>
      <c r="C18" s="30" t="s">
        <v>29</v>
      </c>
      <c r="D18" s="30" t="s">
        <v>175</v>
      </c>
      <c r="E18" s="30" t="s">
        <v>170</v>
      </c>
      <c r="F18" s="30" t="s">
        <v>176</v>
      </c>
      <c r="G18" s="30" t="s">
        <v>177</v>
      </c>
      <c r="H18" s="30" t="s">
        <v>173</v>
      </c>
    </row>
    <row r="19" customFormat="false" ht="15" hidden="false" customHeight="false" outlineLevel="0" collapsed="false">
      <c r="B19" s="42" t="n">
        <f aca="false">IF(C19="","",1)</f>
        <v>1</v>
      </c>
      <c r="C19" s="43" t="str">
        <f aca="false">IF(Pengaturan!$D$19="","",Pengaturan!$D$19)</f>
        <v>Kegiatan / Program</v>
      </c>
      <c r="D19" s="35" t="n">
        <v>15000000</v>
      </c>
      <c r="E19" s="36" t="n">
        <f aca="false">IF(C19="","",SUMIFS(Transaksi!$K$6:$K$505,Transaksi!$F$6:$F$505,C19))</f>
        <v>10600000</v>
      </c>
      <c r="F19" s="36" t="n">
        <f aca="false">IF(C19="","",N(D19)-E19)</f>
        <v>4400000</v>
      </c>
      <c r="G19" s="44" t="n">
        <f aca="false">IF(C19="","",IF(N(D19)=0,IF(E19&gt;0,1.01,0),E19/D19))</f>
        <v>0.706666666666667</v>
      </c>
      <c r="H19" s="48" t="str">
        <f aca="false">IF(C19="","",IF(G19&gt;1,"Melebihi",IF(G19&gt;=Pengaturan!$C$15,"Waspada","Aman")))</f>
        <v>Aman</v>
      </c>
    </row>
    <row r="20" customFormat="false" ht="15" hidden="false" customHeight="false" outlineLevel="0" collapsed="false">
      <c r="B20" s="42" t="n">
        <f aca="false">IF(C20="","",2)</f>
        <v>2</v>
      </c>
      <c r="C20" s="43" t="str">
        <f aca="false">IF(Pengaturan!$D$20="","",Pengaturan!$D$20)</f>
        <v>Konsumsi</v>
      </c>
      <c r="D20" s="35" t="n">
        <v>3000000</v>
      </c>
      <c r="E20" s="36" t="n">
        <f aca="false">IF(C20="","",SUMIFS(Transaksi!$K$6:$K$505,Transaksi!$F$6:$F$505,C20))</f>
        <v>2300000</v>
      </c>
      <c r="F20" s="36" t="n">
        <f aca="false">IF(C20="","",N(D20)-E20)</f>
        <v>700000</v>
      </c>
      <c r="G20" s="44" t="n">
        <f aca="false">IF(C20="","",IF(N(D20)=0,IF(E20&gt;0,1.01,0),E20/D20))</f>
        <v>0.766666666666667</v>
      </c>
      <c r="H20" s="48" t="str">
        <f aca="false">IF(C20="","",IF(G20&gt;1,"Melebihi",IF(G20&gt;=Pengaturan!$C$15,"Waspada","Aman")))</f>
        <v>Aman</v>
      </c>
    </row>
    <row r="21" customFormat="false" ht="15" hidden="false" customHeight="false" outlineLevel="0" collapsed="false">
      <c r="B21" s="42" t="n">
        <f aca="false">IF(C21="","",3)</f>
        <v>3</v>
      </c>
      <c r="C21" s="43" t="str">
        <f aca="false">IF(Pengaturan!$D$21="","",Pengaturan!$D$21)</f>
        <v>Transportasi</v>
      </c>
      <c r="D21" s="35" t="n">
        <v>1000000</v>
      </c>
      <c r="E21" s="36" t="n">
        <f aca="false">IF(C21="","",SUMIFS(Transaksi!$K$6:$K$505,Transaksi!$F$6:$F$505,C21))</f>
        <v>600000</v>
      </c>
      <c r="F21" s="36" t="n">
        <f aca="false">IF(C21="","",N(D21)-E21)</f>
        <v>400000</v>
      </c>
      <c r="G21" s="44" t="n">
        <f aca="false">IF(C21="","",IF(N(D21)=0,IF(E21&gt;0,1.01,0),E21/D21))</f>
        <v>0.6</v>
      </c>
      <c r="H21" s="48" t="str">
        <f aca="false">IF(C21="","",IF(G21&gt;1,"Melebihi",IF(G21&gt;=Pengaturan!$C$15,"Waspada","Aman")))</f>
        <v>Aman</v>
      </c>
    </row>
    <row r="22" customFormat="false" ht="15" hidden="false" customHeight="false" outlineLevel="0" collapsed="false">
      <c r="B22" s="42" t="n">
        <f aca="false">IF(C22="","",4)</f>
        <v>4</v>
      </c>
      <c r="C22" s="43" t="str">
        <f aca="false">IF(Pengaturan!$D$22="","",Pengaturan!$D$22)</f>
        <v>ATK &amp; Percetakan</v>
      </c>
      <c r="D22" s="35" t="n">
        <v>700000</v>
      </c>
      <c r="E22" s="36" t="n">
        <f aca="false">IF(C22="","",SUMIFS(Transaksi!$K$6:$K$505,Transaksi!$F$6:$F$505,C22))</f>
        <v>630000</v>
      </c>
      <c r="F22" s="36" t="n">
        <f aca="false">IF(C22="","",N(D22)-E22)</f>
        <v>70000</v>
      </c>
      <c r="G22" s="44" t="n">
        <f aca="false">IF(C22="","",IF(N(D22)=0,IF(E22&gt;0,1.01,0),E22/D22))</f>
        <v>0.9</v>
      </c>
      <c r="H22" s="48" t="str">
        <f aca="false">IF(C22="","",IF(G22&gt;1,"Melebihi",IF(G22&gt;=Pengaturan!$C$15,"Waspada","Aman")))</f>
        <v>Waspada</v>
      </c>
    </row>
    <row r="23" customFormat="false" ht="15" hidden="false" customHeight="false" outlineLevel="0" collapsed="false">
      <c r="B23" s="42" t="n">
        <f aca="false">IF(C23="","",5)</f>
        <v>5</v>
      </c>
      <c r="C23" s="43" t="str">
        <f aca="false">IF(Pengaturan!$D$23="","",Pengaturan!$D$23)</f>
        <v>Sewa &amp; Utilitas</v>
      </c>
      <c r="D23" s="35" t="n">
        <v>6000000</v>
      </c>
      <c r="E23" s="36" t="n">
        <f aca="false">IF(C23="","",SUMIFS(Transaksi!$K$6:$K$505,Transaksi!$F$6:$F$505,C23))</f>
        <v>6000000</v>
      </c>
      <c r="F23" s="36" t="n">
        <f aca="false">IF(C23="","",N(D23)-E23)</f>
        <v>0</v>
      </c>
      <c r="G23" s="44" t="n">
        <f aca="false">IF(C23="","",IF(N(D23)=0,IF(E23&gt;0,1.01,0),E23/D23))</f>
        <v>1</v>
      </c>
      <c r="H23" s="48" t="str">
        <f aca="false">IF(C23="","",IF(G23&gt;1,"Melebihi",IF(G23&gt;=Pengaturan!$C$15,"Waspada","Aman")))</f>
        <v>Waspada</v>
      </c>
    </row>
    <row r="24" customFormat="false" ht="15" hidden="false" customHeight="false" outlineLevel="0" collapsed="false">
      <c r="B24" s="42" t="n">
        <f aca="false">IF(C24="","",6)</f>
        <v>6</v>
      </c>
      <c r="C24" s="43" t="str">
        <f aca="false">IF(Pengaturan!$D$24="","",Pengaturan!$D$24)</f>
        <v>Honor / Insentif</v>
      </c>
      <c r="D24" s="35" t="n">
        <v>1500000</v>
      </c>
      <c r="E24" s="36" t="n">
        <f aca="false">IF(C24="","",SUMIFS(Transaksi!$K$6:$K$505,Transaksi!$F$6:$F$505,C24))</f>
        <v>1000000</v>
      </c>
      <c r="F24" s="36" t="n">
        <f aca="false">IF(C24="","",N(D24)-E24)</f>
        <v>500000</v>
      </c>
      <c r="G24" s="44" t="n">
        <f aca="false">IF(C24="","",IF(N(D24)=0,IF(E24&gt;0,1.01,0),E24/D24))</f>
        <v>0.666666666666667</v>
      </c>
      <c r="H24" s="48" t="str">
        <f aca="false">IF(C24="","",IF(G24&gt;1,"Melebihi",IF(G24&gt;=Pengaturan!$C$15,"Waspada","Aman")))</f>
        <v>Aman</v>
      </c>
    </row>
    <row r="25" customFormat="false" ht="15" hidden="false" customHeight="false" outlineLevel="0" collapsed="false">
      <c r="B25" s="42" t="n">
        <f aca="false">IF(C25="","",7)</f>
        <v>7</v>
      </c>
      <c r="C25" s="43" t="str">
        <f aca="false">IF(Pengaturan!$D$25="","",Pengaturan!$D$25)</f>
        <v>Sosial / Santunan</v>
      </c>
      <c r="D25" s="35" t="n">
        <v>2500000</v>
      </c>
      <c r="E25" s="36" t="n">
        <f aca="false">IF(C25="","",SUMIFS(Transaksi!$K$6:$K$505,Transaksi!$F$6:$F$505,C25))</f>
        <v>3000000</v>
      </c>
      <c r="F25" s="36" t="n">
        <f aca="false">IF(C25="","",N(D25)-E25)</f>
        <v>-500000</v>
      </c>
      <c r="G25" s="44" t="n">
        <f aca="false">IF(C25="","",IF(N(D25)=0,IF(E25&gt;0,1.01,0),E25/D25))</f>
        <v>1.2</v>
      </c>
      <c r="H25" s="48" t="str">
        <f aca="false">IF(C25="","",IF(G25&gt;1,"Melebihi",IF(G25&gt;=Pengaturan!$C$15,"Waspada","Aman")))</f>
        <v>Melebihi</v>
      </c>
    </row>
    <row r="26" customFormat="false" ht="15" hidden="false" customHeight="false" outlineLevel="0" collapsed="false">
      <c r="B26" s="42" t="n">
        <f aca="false">IF(C26="","",8)</f>
        <v>8</v>
      </c>
      <c r="C26" s="43" t="str">
        <f aca="false">IF(Pengaturan!$D$26="","",Pengaturan!$D$26)</f>
        <v>Perlengkapan / Aset</v>
      </c>
      <c r="D26" s="35" t="n">
        <v>7000000</v>
      </c>
      <c r="E26" s="36" t="n">
        <f aca="false">IF(C26="","",SUMIFS(Transaksi!$K$6:$K$505,Transaksi!$F$6:$F$505,C26))</f>
        <v>6250000</v>
      </c>
      <c r="F26" s="36" t="n">
        <f aca="false">IF(C26="","",N(D26)-E26)</f>
        <v>750000</v>
      </c>
      <c r="G26" s="44" t="n">
        <f aca="false">IF(C26="","",IF(N(D26)=0,IF(E26&gt;0,1.01,0),E26/D26))</f>
        <v>0.892857142857143</v>
      </c>
      <c r="H26" s="48" t="str">
        <f aca="false">IF(C26="","",IF(G26&gt;1,"Melebihi",IF(G26&gt;=Pengaturan!$C$15,"Waspada","Aman")))</f>
        <v>Waspada</v>
      </c>
    </row>
    <row r="27" customFormat="false" ht="15" hidden="false" customHeight="false" outlineLevel="0" collapsed="false">
      <c r="B27" s="42" t="n">
        <f aca="false">IF(C27="","",9)</f>
        <v>9</v>
      </c>
      <c r="C27" s="43" t="str">
        <f aca="false">IF(Pengaturan!$D$27="","",Pengaturan!$D$27)</f>
        <v>Administrasi Bank</v>
      </c>
      <c r="D27" s="35" t="n">
        <v>200000</v>
      </c>
      <c r="E27" s="36" t="n">
        <f aca="false">IF(C27="","",SUMIFS(Transaksi!$K$6:$K$505,Transaksi!$F$6:$F$505,C27))</f>
        <v>150000</v>
      </c>
      <c r="F27" s="36" t="n">
        <f aca="false">IF(C27="","",N(D27)-E27)</f>
        <v>50000</v>
      </c>
      <c r="G27" s="44" t="n">
        <f aca="false">IF(C27="","",IF(N(D27)=0,IF(E27&gt;0,1.01,0),E27/D27))</f>
        <v>0.75</v>
      </c>
      <c r="H27" s="48" t="str">
        <f aca="false">IF(C27="","",IF(G27&gt;1,"Melebihi",IF(G27&gt;=Pengaturan!$C$15,"Waspada","Aman")))</f>
        <v>Aman</v>
      </c>
    </row>
    <row r="28" customFormat="false" ht="15" hidden="false" customHeight="false" outlineLevel="0" collapsed="false">
      <c r="B28" s="42" t="n">
        <f aca="false">IF(C28="","",10)</f>
        <v>10</v>
      </c>
      <c r="C28" s="43" t="str">
        <f aca="false">IF(Pengaturan!$D$28="","",Pengaturan!$D$28)</f>
        <v>Pengeluaran Lain-lain</v>
      </c>
      <c r="D28" s="35" t="n">
        <v>500000</v>
      </c>
      <c r="E28" s="36" t="n">
        <f aca="false">IF(C28="","",SUMIFS(Transaksi!$K$6:$K$505,Transaksi!$F$6:$F$505,C28))</f>
        <v>0</v>
      </c>
      <c r="F28" s="36" t="n">
        <f aca="false">IF(C28="","",N(D28)-E28)</f>
        <v>500000</v>
      </c>
      <c r="G28" s="44" t="n">
        <f aca="false">IF(C28="","",IF(N(D28)=0,IF(E28&gt;0,1.01,0),E28/D28))</f>
        <v>0</v>
      </c>
      <c r="H28" s="48" t="str">
        <f aca="false">IF(C28="","",IF(G28&gt;1,"Melebihi",IF(G28&gt;=Pengaturan!$C$15,"Waspada","Aman")))</f>
        <v>Aman</v>
      </c>
    </row>
    <row r="29" customFormat="false" ht="15" hidden="false" customHeight="false" outlineLevel="0" collapsed="false">
      <c r="B29" s="42" t="str">
        <f aca="false">IF(C29="","",11)</f>
        <v/>
      </c>
      <c r="C29" s="43" t="str">
        <f aca="false">IF(Pengaturan!$D$29="","",Pengaturan!$D$29)</f>
        <v/>
      </c>
      <c r="D29" s="35"/>
      <c r="E29" s="36" t="str">
        <f aca="false">IF(C29="","",SUMIFS(Transaksi!$K$6:$K$505,Transaksi!$F$6:$F$505,C29))</f>
        <v/>
      </c>
      <c r="F29" s="36" t="str">
        <f aca="false">IF(C29="","",N(D29)-E29)</f>
        <v/>
      </c>
      <c r="G29" s="44" t="str">
        <f aca="false">IF(C29="","",IF(N(D29)=0,IF(E29&gt;0,1.01,0),E29/D29))</f>
        <v/>
      </c>
      <c r="H29" s="48" t="str">
        <f aca="false">IF(C29="","",IF(G29&gt;1,"Melebihi",IF(G29&gt;=Pengaturan!$C$15,"Waspada","Aman")))</f>
        <v/>
      </c>
    </row>
    <row r="30" customFormat="false" ht="15" hidden="false" customHeight="false" outlineLevel="0" collapsed="false">
      <c r="B30" s="42" t="str">
        <f aca="false">IF(C30="","",12)</f>
        <v/>
      </c>
      <c r="C30" s="43" t="str">
        <f aca="false">IF(Pengaturan!$D$30="","",Pengaturan!$D$30)</f>
        <v/>
      </c>
      <c r="D30" s="35"/>
      <c r="E30" s="36" t="str">
        <f aca="false">IF(C30="","",SUMIFS(Transaksi!$K$6:$K$505,Transaksi!$F$6:$F$505,C30))</f>
        <v/>
      </c>
      <c r="F30" s="36" t="str">
        <f aca="false">IF(C30="","",N(D30)-E30)</f>
        <v/>
      </c>
      <c r="G30" s="44" t="str">
        <f aca="false">IF(C30="","",IF(N(D30)=0,IF(E30&gt;0,1.01,0),E30/D30))</f>
        <v/>
      </c>
      <c r="H30" s="48" t="str">
        <f aca="false">IF(C30="","",IF(G30&gt;1,"Melebihi",IF(G30&gt;=Pengaturan!$C$15,"Waspada","Aman")))</f>
        <v/>
      </c>
    </row>
    <row r="31" customFormat="false" ht="15" hidden="false" customHeight="true" outlineLevel="0" collapsed="false">
      <c r="B31" s="45" t="s">
        <v>3</v>
      </c>
      <c r="C31" s="45"/>
      <c r="D31" s="46" t="n">
        <f aca="false">SUM(D19:D30)</f>
        <v>37400000</v>
      </c>
      <c r="E31" s="46" t="n">
        <f aca="false">SUM(E19:E30)</f>
        <v>30530000</v>
      </c>
      <c r="F31" s="46" t="n">
        <f aca="false">D31-E31</f>
        <v>6870000</v>
      </c>
      <c r="G31" s="47" t="n">
        <f aca="false">IF(D31=0,0,E31/D31)</f>
        <v>0.816310160427808</v>
      </c>
      <c r="H31" s="49"/>
    </row>
    <row r="34" customFormat="false" ht="15" hidden="false" customHeight="false" outlineLevel="0" collapsed="false">
      <c r="B34" s="10" t="s">
        <v>178</v>
      </c>
    </row>
    <row r="35" customFormat="false" ht="30" hidden="false" customHeight="true" outlineLevel="0" collapsed="false">
      <c r="C35" s="50" t="s">
        <v>179</v>
      </c>
      <c r="D35" s="41" t="n">
        <f aca="false">D14-D31</f>
        <v>-9700000</v>
      </c>
    </row>
    <row r="36" customFormat="false" ht="23.85" hidden="false" customHeight="false" outlineLevel="0" collapsed="false">
      <c r="C36" s="50" t="s">
        <v>180</v>
      </c>
      <c r="D36" s="41" t="n">
        <f aca="false">E14-E31</f>
        <v>-9687000</v>
      </c>
    </row>
    <row r="38" customFormat="false" ht="15" hidden="false" customHeight="false" outlineLevel="0" collapsed="false">
      <c r="C38" s="26" t="s">
        <v>181</v>
      </c>
    </row>
    <row r="39" customFormat="false" ht="15" hidden="false" customHeight="false" outlineLevel="0" collapsed="false">
      <c r="C39" s="51" t="s">
        <v>182</v>
      </c>
      <c r="E39" s="52" t="n">
        <f aca="false">E14-SUM(Transaksi!$J$6:$J$505)</f>
        <v>0</v>
      </c>
      <c r="F39" s="53" t="str">
        <f aca="false">IF(E39=0,"✔ Sesuai","⚠ Ada transaksi dengan kategori di luar daftar")</f>
        <v>✔ Sesuai</v>
      </c>
    </row>
    <row r="40" customFormat="false" ht="15" hidden="false" customHeight="false" outlineLevel="0" collapsed="false">
      <c r="C40" s="51" t="s">
        <v>183</v>
      </c>
      <c r="E40" s="52" t="n">
        <f aca="false">E31-SUM(Transaksi!$K$6:$K$505)</f>
        <v>0</v>
      </c>
      <c r="F40" s="53" t="str">
        <f aca="false">IF(E40=0,"✔ Sesuai","⚠ Ada transaksi dengan kategori di luar daftar")</f>
        <v>✔ Sesuai</v>
      </c>
    </row>
  </sheetData>
  <mergeCells count="4">
    <mergeCell ref="B1:H1"/>
    <mergeCell ref="B2:H2"/>
    <mergeCell ref="B14:C14"/>
    <mergeCell ref="B31:C31"/>
  </mergeCells>
  <conditionalFormatting sqref="H19:H30">
    <cfRule type="cellIs" priority="2" operator="equal" aboveAverage="0" equalAverage="0" bottom="0" percent="0" rank="0" text="" dxfId="12">
      <formula>"Aman"</formula>
    </cfRule>
    <cfRule type="cellIs" priority="3" operator="equal" aboveAverage="0" equalAverage="0" bottom="0" percent="0" rank="0" text="" dxfId="13">
      <formula>"Waspada"</formula>
    </cfRule>
    <cfRule type="cellIs" priority="4" operator="equal" aboveAverage="0" equalAverage="0" bottom="0" percent="0" rank="0" text="" dxfId="14">
      <formula>"Melebihi"</formula>
    </cfRule>
  </conditionalFormatting>
  <conditionalFormatting sqref="H6:H13">
    <cfRule type="cellIs" priority="5" operator="equal" aboveAverage="0" equalAverage="0" bottom="0" percent="0" rank="0" text="" dxfId="12">
      <formula>"Tercapai"</formula>
    </cfRule>
    <cfRule type="cellIs" priority="6" operator="equal" aboveAverage="0" equalAverage="0" bottom="0" percent="0" rank="0" text="" dxfId="13">
      <formula>"Berjalan"</formula>
    </cfRule>
    <cfRule type="cellIs" priority="7" operator="equal" aboveAverage="0" equalAverage="0" bottom="0" percent="0" rank="0" text="" dxfId="14">
      <formula>"Rendah"</formula>
    </cfRule>
  </conditionalFormatting>
  <conditionalFormatting sqref="G6:G13">
    <cfRule type="dataBar" priority="8">
      <dataBar showValue="1" minLength="10" maxLength="90">
        <cfvo type="num" val="0"/>
        <cfvo type="num" val="1"/>
        <color rgb="FFFFD600"/>
      </dataBar>
      <extLst>
        <ext xmlns:x14="http://schemas.microsoft.com/office/spreadsheetml/2009/9/main" uri="{B025F937-C7B1-47D3-B67F-A62EFF666E3E}">
          <x14:id>{B040448F-708E-4AA6-A586-50F7C258E4E4}</x14:id>
        </ext>
      </extLst>
    </cfRule>
  </conditionalFormatting>
  <conditionalFormatting sqref="G19:G30">
    <cfRule type="dataBar" priority="9">
      <dataBar showValue="1" minLength="10" maxLength="90">
        <cfvo type="num" val="0"/>
        <cfvo type="num" val="1"/>
        <color rgb="FFEF5350"/>
      </dataBar>
      <extLst>
        <ext xmlns:x14="http://schemas.microsoft.com/office/spreadsheetml/2009/9/main" uri="{B025F937-C7B1-47D3-B67F-A62EFF666E3E}">
          <x14:id>{73287DBC-81A0-419F-9F9F-52468722BDD5}</x14:id>
        </ext>
      </extLst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40448F-708E-4AA6-A586-50F7C258E4E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FD600"/>
              <x14:axisColor rgb="FF000000"/>
            </x14:dataBar>
          </x14:cfRule>
          <xm:sqref>G6:G13</xm:sqref>
        </x14:conditionalFormatting>
        <x14:conditionalFormatting xmlns:xm="http://schemas.microsoft.com/office/excel/2006/main">
          <x14:cfRule type="dataBar" id="{73287DBC-81A0-419F-9F9F-52468722BDD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F5350"/>
              <x14:axisColor rgb="FF000000"/>
            </x14:dataBar>
          </x14:cfRule>
          <xm:sqref>G19:G30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B26"/>
    <pageSetUpPr fitToPage="true"/>
  </sheetPr>
  <dimension ref="A1:O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5" min="4" style="0" width="13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11" min="8" style="0" width="16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5" min="14" style="0" width="14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1"/>
      <c r="B2" s="3" t="str">
        <f aca="false">"EVENT / KEGIATAN — total keuangan tiap event, otomatis dari kolom Event di sheet Transaksi  •  Tahun Buku "&amp;Pengaturan!$C$6</f>
        <v>EVENT / KEGIATAN — total keuangan tiap event, otomatis dari kolom Event di sheet Transaksi  •  Tahun Buku 2026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15" hidden="false" customHeight="true" outlineLevel="0" collapsed="false">
      <c r="B4" s="6" t="s">
        <v>184</v>
      </c>
      <c r="C4" s="6"/>
      <c r="D4" s="6" t="s">
        <v>185</v>
      </c>
      <c r="E4" s="6"/>
      <c r="F4" s="6"/>
      <c r="G4" s="6" t="s">
        <v>186</v>
      </c>
      <c r="H4" s="6"/>
      <c r="I4" s="6"/>
      <c r="J4" s="6" t="s">
        <v>187</v>
      </c>
      <c r="K4" s="6"/>
      <c r="L4" s="6"/>
      <c r="M4" s="6" t="s">
        <v>188</v>
      </c>
      <c r="N4" s="6"/>
      <c r="O4" s="6"/>
    </row>
    <row r="5" customFormat="false" ht="16.5" hidden="false" customHeight="true" outlineLevel="0" collapsed="false">
      <c r="B5" s="54" t="n">
        <f aca="false">COUNTA(C9:C28)</f>
        <v>8</v>
      </c>
      <c r="C5" s="54"/>
      <c r="D5" s="55" t="n">
        <f aca="false">I29</f>
        <v>20700000</v>
      </c>
      <c r="E5" s="55"/>
      <c r="F5" s="55"/>
      <c r="G5" s="55" t="n">
        <f aca="false">J29</f>
        <v>16150000</v>
      </c>
      <c r="H5" s="55"/>
      <c r="I5" s="55"/>
      <c r="J5" s="55" t="n">
        <f aca="false">K29</f>
        <v>4550000</v>
      </c>
      <c r="K5" s="55"/>
      <c r="L5" s="55"/>
      <c r="M5" s="54" t="n">
        <f aca="false">COUNTIF(O9:O28,"Melebihi")</f>
        <v>1</v>
      </c>
      <c r="N5" s="54"/>
      <c r="O5" s="54"/>
    </row>
    <row r="6" customFormat="false" ht="16.5" hidden="false" customHeight="true" outlineLevel="0" collapsed="false">
      <c r="B6" s="54"/>
      <c r="C6" s="54"/>
      <c r="D6" s="55"/>
      <c r="E6" s="55"/>
      <c r="F6" s="55"/>
      <c r="G6" s="55"/>
      <c r="H6" s="55"/>
      <c r="I6" s="55"/>
      <c r="J6" s="55"/>
      <c r="K6" s="55"/>
      <c r="L6" s="55"/>
      <c r="M6" s="54"/>
      <c r="N6" s="54"/>
      <c r="O6" s="54"/>
    </row>
    <row r="7" customFormat="false" ht="19.5" hidden="false" customHeight="true" outlineLevel="0" collapsed="false">
      <c r="B7" s="56" t="s">
        <v>189</v>
      </c>
    </row>
    <row r="8" customFormat="false" ht="36" hidden="false" customHeight="true" outlineLevel="0" collapsed="false">
      <c r="B8" s="30" t="s">
        <v>27</v>
      </c>
      <c r="C8" s="30" t="s">
        <v>190</v>
      </c>
      <c r="D8" s="30" t="s">
        <v>191</v>
      </c>
      <c r="E8" s="30" t="s">
        <v>192</v>
      </c>
      <c r="F8" s="30" t="s">
        <v>193</v>
      </c>
      <c r="G8" s="30" t="s">
        <v>35</v>
      </c>
      <c r="H8" s="30" t="s">
        <v>194</v>
      </c>
      <c r="I8" s="30" t="s">
        <v>32</v>
      </c>
      <c r="J8" s="30" t="s">
        <v>33</v>
      </c>
      <c r="K8" s="30" t="s">
        <v>195</v>
      </c>
      <c r="L8" s="30" t="s">
        <v>196</v>
      </c>
      <c r="M8" s="30" t="s">
        <v>197</v>
      </c>
      <c r="N8" s="30" t="s">
        <v>198</v>
      </c>
      <c r="O8" s="30" t="s">
        <v>199</v>
      </c>
    </row>
    <row r="9" customFormat="false" ht="15" hidden="false" customHeight="false" outlineLevel="0" collapsed="false">
      <c r="B9" s="31" t="n">
        <f aca="false">IF(C9="","",ROW()-8)</f>
        <v>1</v>
      </c>
      <c r="C9" s="34" t="s">
        <v>60</v>
      </c>
      <c r="D9" s="32" t="n">
        <v>46047</v>
      </c>
      <c r="E9" s="32" t="n">
        <v>46047</v>
      </c>
      <c r="F9" s="34" t="s">
        <v>200</v>
      </c>
      <c r="G9" s="34" t="s">
        <v>55</v>
      </c>
      <c r="H9" s="35" t="n">
        <v>1000000</v>
      </c>
      <c r="I9" s="36" t="n">
        <f aca="false">IF(C9="","",SUMIFS(Transaksi!$J$6:$J$505,Transaksi!$O$6:$O$505,C9))</f>
        <v>0</v>
      </c>
      <c r="J9" s="36" t="n">
        <f aca="false">IF(C9="","",SUMIFS(Transaksi!$K$6:$K$505,Transaksi!$O$6:$O$505,C9))</f>
        <v>600000</v>
      </c>
      <c r="K9" s="57" t="n">
        <f aca="false">IF(C9="","",I9-J9)</f>
        <v>-600000</v>
      </c>
      <c r="L9" s="44" t="n">
        <f aca="false">IF(C9="","",IF(N(H9)=0,IF(J9&gt;0,1.01,0),J9/H9))</f>
        <v>0.6</v>
      </c>
      <c r="M9" s="58" t="n">
        <f aca="false">IF(C9="","",COUNTIF(Transaksi!$O$6:$O$505,C9))</f>
        <v>1</v>
      </c>
      <c r="N9" s="48" t="str">
        <f aca="false">IF(C9="","",IF(OR(D9="",E9=""),"-",IF(E9&lt;Pengaturan!$C$14,"Selesai",IF(D9&gt;Pengaturan!$C$14,"Direncanakan","Berjalan"))))</f>
        <v>Selesai</v>
      </c>
      <c r="O9" s="48" t="str">
        <f aca="false">IF(C9="","",IF(L9&gt;1,"Melebihi",IF(L9&gt;=Pengaturan!$C$15,"Waspada","Aman")))</f>
        <v>Aman</v>
      </c>
    </row>
    <row r="10" customFormat="false" ht="15" hidden="false" customHeight="false" outlineLevel="0" collapsed="false">
      <c r="B10" s="31" t="n">
        <f aca="false">IF(C10="","",ROW()-8)</f>
        <v>2</v>
      </c>
      <c r="C10" s="34" t="s">
        <v>50</v>
      </c>
      <c r="D10" s="32" t="n">
        <v>46073</v>
      </c>
      <c r="E10" s="32" t="n">
        <v>46073</v>
      </c>
      <c r="F10" s="34" t="s">
        <v>201</v>
      </c>
      <c r="G10" s="34" t="s">
        <v>74</v>
      </c>
      <c r="H10" s="35" t="n">
        <v>8000000</v>
      </c>
      <c r="I10" s="36" t="n">
        <f aca="false">IF(C10="","",SUMIFS(Transaksi!$J$6:$J$505,Transaksi!$O$6:$O$505,C10))</f>
        <v>10500000</v>
      </c>
      <c r="J10" s="36" t="n">
        <f aca="false">IF(C10="","",SUMIFS(Transaksi!$K$6:$K$505,Transaksi!$O$6:$O$505,C10))</f>
        <v>6500000</v>
      </c>
      <c r="K10" s="57" t="n">
        <f aca="false">IF(C10="","",I10-J10)</f>
        <v>4000000</v>
      </c>
      <c r="L10" s="44" t="n">
        <f aca="false">IF(C10="","",IF(N(H10)=0,IF(J10&gt;0,1.01,0),J10/H10))</f>
        <v>0.8125</v>
      </c>
      <c r="M10" s="58" t="n">
        <f aca="false">IF(C10="","",COUNTIF(Transaksi!$O$6:$O$505,C10))</f>
        <v>4</v>
      </c>
      <c r="N10" s="48" t="str">
        <f aca="false">IF(C10="","",IF(OR(D10="",E10=""),"-",IF(E10&lt;Pengaturan!$C$14,"Selesai",IF(D10&gt;Pengaturan!$C$14,"Direncanakan","Berjalan"))))</f>
        <v>Selesai</v>
      </c>
      <c r="O10" s="48" t="str">
        <f aca="false">IF(C10="","",IF(L10&gt;1,"Melebihi",IF(L10&gt;=Pengaturan!$C$15,"Waspada","Aman")))</f>
        <v>Waspada</v>
      </c>
    </row>
    <row r="11" customFormat="false" ht="15" hidden="false" customHeight="false" outlineLevel="0" collapsed="false">
      <c r="B11" s="31" t="n">
        <f aca="false">IF(C11="","",ROW()-8)</f>
        <v>3</v>
      </c>
      <c r="C11" s="34" t="s">
        <v>82</v>
      </c>
      <c r="D11" s="32" t="n">
        <v>46095</v>
      </c>
      <c r="E11" s="32" t="n">
        <v>46096</v>
      </c>
      <c r="F11" s="34" t="s">
        <v>202</v>
      </c>
      <c r="G11" s="34" t="s">
        <v>81</v>
      </c>
      <c r="H11" s="35" t="n">
        <v>2500000</v>
      </c>
      <c r="I11" s="36" t="n">
        <f aca="false">IF(C11="","",SUMIFS(Transaksi!$J$6:$J$505,Transaksi!$O$6:$O$505,C11))</f>
        <v>3200000</v>
      </c>
      <c r="J11" s="36" t="n">
        <f aca="false">IF(C11="","",SUMIFS(Transaksi!$K$6:$K$505,Transaksi!$O$6:$O$505,C11))</f>
        <v>1200000</v>
      </c>
      <c r="K11" s="57" t="n">
        <f aca="false">IF(C11="","",I11-J11)</f>
        <v>2000000</v>
      </c>
      <c r="L11" s="44" t="n">
        <f aca="false">IF(C11="","",IF(N(H11)=0,IF(J11&gt;0,1.01,0),J11/H11))</f>
        <v>0.48</v>
      </c>
      <c r="M11" s="58" t="n">
        <f aca="false">IF(C11="","",COUNTIF(Transaksi!$O$6:$O$505,C11))</f>
        <v>2</v>
      </c>
      <c r="N11" s="48" t="str">
        <f aca="false">IF(C11="","",IF(OR(D11="",E11=""),"-",IF(E11&lt;Pengaturan!$C$14,"Selesai",IF(D11&gt;Pengaturan!$C$14,"Direncanakan","Berjalan"))))</f>
        <v>Selesai</v>
      </c>
      <c r="O11" s="48" t="str">
        <f aca="false">IF(C11="","",IF(L11&gt;1,"Melebihi",IF(L11&gt;=Pengaturan!$C$15,"Waspada","Aman")))</f>
        <v>Aman</v>
      </c>
    </row>
    <row r="12" customFormat="false" ht="15" hidden="false" customHeight="false" outlineLevel="0" collapsed="false">
      <c r="B12" s="31" t="n">
        <f aca="false">IF(C12="","",ROW()-8)</f>
        <v>4</v>
      </c>
      <c r="C12" s="34" t="s">
        <v>96</v>
      </c>
      <c r="D12" s="32" t="n">
        <v>46134</v>
      </c>
      <c r="E12" s="32" t="n">
        <v>46134</v>
      </c>
      <c r="F12" s="34" t="s">
        <v>203</v>
      </c>
      <c r="G12" s="34" t="s">
        <v>95</v>
      </c>
      <c r="H12" s="35" t="n">
        <v>2500000</v>
      </c>
      <c r="I12" s="36" t="n">
        <f aca="false">IF(C12="","",SUMIFS(Transaksi!$J$6:$J$505,Transaksi!$O$6:$O$505,C12))</f>
        <v>0</v>
      </c>
      <c r="J12" s="36" t="n">
        <f aca="false">IF(C12="","",SUMIFS(Transaksi!$K$6:$K$505,Transaksi!$O$6:$O$505,C12))</f>
        <v>2000000</v>
      </c>
      <c r="K12" s="57" t="n">
        <f aca="false">IF(C12="","",I12-J12)</f>
        <v>-2000000</v>
      </c>
      <c r="L12" s="44" t="n">
        <f aca="false">IF(C12="","",IF(N(H12)=0,IF(J12&gt;0,1.01,0),J12/H12))</f>
        <v>0.8</v>
      </c>
      <c r="M12" s="58" t="n">
        <f aca="false">IF(C12="","",COUNTIF(Transaksi!$O$6:$O$505,C12))</f>
        <v>1</v>
      </c>
      <c r="N12" s="48" t="str">
        <f aca="false">IF(C12="","",IF(OR(D12="",E12=""),"-",IF(E12&lt;Pengaturan!$C$14,"Selesai",IF(D12&gt;Pengaturan!$C$14,"Direncanakan","Berjalan"))))</f>
        <v>Selesai</v>
      </c>
      <c r="O12" s="48" t="str">
        <f aca="false">IF(C12="","",IF(L12&gt;1,"Melebihi",IF(L12&gt;=Pengaturan!$C$15,"Waspada","Aman")))</f>
        <v>Waspada</v>
      </c>
    </row>
    <row r="13" customFormat="false" ht="15" hidden="false" customHeight="false" outlineLevel="0" collapsed="false">
      <c r="B13" s="31" t="n">
        <f aca="false">IF(C13="","",ROW()-8)</f>
        <v>5</v>
      </c>
      <c r="C13" s="34" t="s">
        <v>111</v>
      </c>
      <c r="D13" s="32" t="n">
        <v>46193</v>
      </c>
      <c r="E13" s="32" t="n">
        <v>46194</v>
      </c>
      <c r="F13" s="34" t="s">
        <v>204</v>
      </c>
      <c r="G13" s="34" t="s">
        <v>74</v>
      </c>
      <c r="H13" s="35" t="n">
        <v>4500000</v>
      </c>
      <c r="I13" s="36" t="n">
        <f aca="false">IF(C13="","",SUMIFS(Transaksi!$J$6:$J$505,Transaksi!$O$6:$O$505,C13))</f>
        <v>5500000</v>
      </c>
      <c r="J13" s="36" t="n">
        <f aca="false">IF(C13="","",SUMIFS(Transaksi!$K$6:$K$505,Transaksi!$O$6:$O$505,C13))</f>
        <v>3800000</v>
      </c>
      <c r="K13" s="57" t="n">
        <f aca="false">IF(C13="","",I13-J13)</f>
        <v>1700000</v>
      </c>
      <c r="L13" s="44" t="n">
        <f aca="false">IF(C13="","",IF(N(H13)=0,IF(J13&gt;0,1.01,0),J13/H13))</f>
        <v>0.844444444444444</v>
      </c>
      <c r="M13" s="58" t="n">
        <f aca="false">IF(C13="","",COUNTIF(Transaksi!$O$6:$O$505,C13))</f>
        <v>4</v>
      </c>
      <c r="N13" s="48" t="str">
        <f aca="false">IF(C13="","",IF(OR(D13="",E13=""),"-",IF(E13&lt;Pengaturan!$C$14,"Selesai",IF(D13&gt;Pengaturan!$C$14,"Direncanakan","Berjalan"))))</f>
        <v>Selesai</v>
      </c>
      <c r="O13" s="48" t="str">
        <f aca="false">IF(C13="","",IF(L13&gt;1,"Melebihi",IF(L13&gt;=Pengaturan!$C$15,"Waspada","Aman")))</f>
        <v>Waspada</v>
      </c>
    </row>
    <row r="14" customFormat="false" ht="15" hidden="false" customHeight="false" outlineLevel="0" collapsed="false">
      <c r="B14" s="31" t="n">
        <f aca="false">IF(C14="","",ROW()-8)</f>
        <v>6</v>
      </c>
      <c r="C14" s="34" t="s">
        <v>130</v>
      </c>
      <c r="D14" s="32" t="n">
        <v>46251</v>
      </c>
      <c r="E14" s="32" t="n">
        <v>46251</v>
      </c>
      <c r="F14" s="34" t="s">
        <v>205</v>
      </c>
      <c r="G14" s="34" t="s">
        <v>129</v>
      </c>
      <c r="H14" s="35" t="n">
        <v>1200000</v>
      </c>
      <c r="I14" s="36" t="n">
        <f aca="false">IF(C14="","",SUMIFS(Transaksi!$J$6:$J$505,Transaksi!$O$6:$O$505,C14))</f>
        <v>1500000</v>
      </c>
      <c r="J14" s="36" t="n">
        <f aca="false">IF(C14="","",SUMIFS(Transaksi!$K$6:$K$505,Transaksi!$O$6:$O$505,C14))</f>
        <v>1300000</v>
      </c>
      <c r="K14" s="57" t="n">
        <f aca="false">IF(C14="","",I14-J14)</f>
        <v>200000</v>
      </c>
      <c r="L14" s="44" t="n">
        <f aca="false">IF(C14="","",IF(N(H14)=0,IF(J14&gt;0,1.01,0),J14/H14))</f>
        <v>1.08333333333333</v>
      </c>
      <c r="M14" s="58" t="n">
        <f aca="false">IF(C14="","",COUNTIF(Transaksi!$O$6:$O$505,C14))</f>
        <v>2</v>
      </c>
      <c r="N14" s="48" t="str">
        <f aca="false">IF(C14="","",IF(OR(D14="",E14=""),"-",IF(E14&lt;Pengaturan!$C$14,"Selesai",IF(D14&gt;Pengaturan!$C$14,"Direncanakan","Berjalan"))))</f>
        <v>Selesai</v>
      </c>
      <c r="O14" s="48" t="str">
        <f aca="false">IF(C14="","",IF(L14&gt;1,"Melebihi",IF(L14&gt;=Pengaturan!$C$15,"Waspada","Aman")))</f>
        <v>Melebihi</v>
      </c>
    </row>
    <row r="15" customFormat="false" ht="15" hidden="false" customHeight="false" outlineLevel="0" collapsed="false">
      <c r="B15" s="31" t="n">
        <f aca="false">IF(C15="","",ROW()-8)</f>
        <v>7</v>
      </c>
      <c r="C15" s="34" t="s">
        <v>149</v>
      </c>
      <c r="D15" s="32" t="n">
        <v>46307</v>
      </c>
      <c r="E15" s="32" t="n">
        <v>46307</v>
      </c>
      <c r="F15" s="34" t="s">
        <v>200</v>
      </c>
      <c r="G15" s="34" t="s">
        <v>55</v>
      </c>
      <c r="H15" s="35" t="n">
        <v>600000</v>
      </c>
      <c r="I15" s="36" t="n">
        <f aca="false">IF(C15="","",SUMIFS(Transaksi!$J$6:$J$505,Transaksi!$O$6:$O$505,C15))</f>
        <v>0</v>
      </c>
      <c r="J15" s="36" t="n">
        <f aca="false">IF(C15="","",SUMIFS(Transaksi!$K$6:$K$505,Transaksi!$O$6:$O$505,C15))</f>
        <v>500000</v>
      </c>
      <c r="K15" s="57" t="n">
        <f aca="false">IF(C15="","",I15-J15)</f>
        <v>-500000</v>
      </c>
      <c r="L15" s="44" t="n">
        <f aca="false">IF(C15="","",IF(N(H15)=0,IF(J15&gt;0,1.01,0),J15/H15))</f>
        <v>0.833333333333333</v>
      </c>
      <c r="M15" s="58" t="n">
        <f aca="false">IF(C15="","",COUNTIF(Transaksi!$O$6:$O$505,C15))</f>
        <v>1</v>
      </c>
      <c r="N15" s="48" t="str">
        <f aca="false">IF(C15="","",IF(OR(D15="",E15=""),"-",IF(E15&lt;Pengaturan!$C$14,"Selesai",IF(D15&gt;Pengaturan!$C$14,"Direncanakan","Berjalan"))))</f>
        <v>Selesai</v>
      </c>
      <c r="O15" s="48" t="str">
        <f aca="false">IF(C15="","",IF(L15&gt;1,"Melebihi",IF(L15&gt;=Pengaturan!$C$15,"Waspada","Aman")))</f>
        <v>Waspada</v>
      </c>
    </row>
    <row r="16" customFormat="false" ht="15" hidden="false" customHeight="false" outlineLevel="0" collapsed="false">
      <c r="B16" s="31" t="n">
        <f aca="false">IF(C16="","",ROW()-8)</f>
        <v>8</v>
      </c>
      <c r="C16" s="34" t="s">
        <v>154</v>
      </c>
      <c r="D16" s="32" t="n">
        <v>46368</v>
      </c>
      <c r="E16" s="32" t="n">
        <v>46368</v>
      </c>
      <c r="F16" s="34" t="s">
        <v>206</v>
      </c>
      <c r="G16" s="34" t="s">
        <v>74</v>
      </c>
      <c r="H16" s="35" t="n">
        <v>8000000</v>
      </c>
      <c r="I16" s="36" t="n">
        <f aca="false">IF(C16="","",SUMIFS(Transaksi!$J$6:$J$505,Transaksi!$O$6:$O$505,C16))</f>
        <v>0</v>
      </c>
      <c r="J16" s="36" t="n">
        <f aca="false">IF(C16="","",SUMIFS(Transaksi!$K$6:$K$505,Transaksi!$O$6:$O$505,C16))</f>
        <v>250000</v>
      </c>
      <c r="K16" s="57" t="n">
        <f aca="false">IF(C16="","",I16-J16)</f>
        <v>-250000</v>
      </c>
      <c r="L16" s="44" t="n">
        <f aca="false">IF(C16="","",IF(N(H16)=0,IF(J16&gt;0,1.01,0),J16/H16))</f>
        <v>0.03125</v>
      </c>
      <c r="M16" s="58" t="n">
        <f aca="false">IF(C16="","",COUNTIF(Transaksi!$O$6:$O$505,C16))</f>
        <v>1</v>
      </c>
      <c r="N16" s="48" t="str">
        <f aca="false">IF(C16="","",IF(OR(D16="",E16=""),"-",IF(E16&lt;Pengaturan!$C$14,"Selesai",IF(D16&gt;Pengaturan!$C$14,"Direncanakan","Berjalan"))))</f>
        <v>Direncanakan</v>
      </c>
      <c r="O16" s="48" t="str">
        <f aca="false">IF(C16="","",IF(L16&gt;1,"Melebihi",IF(L16&gt;=Pengaturan!$C$15,"Waspada","Aman")))</f>
        <v>Aman</v>
      </c>
    </row>
    <row r="17" customFormat="false" ht="15" hidden="false" customHeight="false" outlineLevel="0" collapsed="false">
      <c r="B17" s="31" t="str">
        <f aca="false">IF(C17="","",ROW()-8)</f>
        <v/>
      </c>
      <c r="C17" s="34"/>
      <c r="D17" s="32"/>
      <c r="E17" s="32"/>
      <c r="F17" s="34"/>
      <c r="G17" s="34"/>
      <c r="H17" s="35"/>
      <c r="I17" s="36" t="str">
        <f aca="false">IF(C17="","",SUMIFS(Transaksi!$J$6:$J$505,Transaksi!$O$6:$O$505,C17))</f>
        <v/>
      </c>
      <c r="J17" s="36" t="str">
        <f aca="false">IF(C17="","",SUMIFS(Transaksi!$K$6:$K$505,Transaksi!$O$6:$O$505,C17))</f>
        <v/>
      </c>
      <c r="K17" s="57" t="str">
        <f aca="false">IF(C17="","",I17-J17)</f>
        <v/>
      </c>
      <c r="L17" s="44" t="str">
        <f aca="false">IF(C17="","",IF(N(H17)=0,IF(J17&gt;0,1.01,0),J17/H17))</f>
        <v/>
      </c>
      <c r="M17" s="58" t="str">
        <f aca="false">IF(C17="","",COUNTIF(Transaksi!$O$6:$O$505,C17))</f>
        <v/>
      </c>
      <c r="N17" s="48" t="str">
        <f aca="false">IF(C17="","",IF(OR(D17="",E17=""),"-",IF(E17&lt;Pengaturan!$C$14,"Selesai",IF(D17&gt;Pengaturan!$C$14,"Direncanakan","Berjalan"))))</f>
        <v/>
      </c>
      <c r="O17" s="48" t="str">
        <f aca="false">IF(C17="","",IF(L17&gt;1,"Melebihi",IF(L17&gt;=Pengaturan!$C$15,"Waspada","Aman")))</f>
        <v/>
      </c>
    </row>
    <row r="18" customFormat="false" ht="15" hidden="false" customHeight="false" outlineLevel="0" collapsed="false">
      <c r="B18" s="31" t="str">
        <f aca="false">IF(C18="","",ROW()-8)</f>
        <v/>
      </c>
      <c r="C18" s="34"/>
      <c r="D18" s="32"/>
      <c r="E18" s="32"/>
      <c r="F18" s="34"/>
      <c r="G18" s="34"/>
      <c r="H18" s="35"/>
      <c r="I18" s="36" t="str">
        <f aca="false">IF(C18="","",SUMIFS(Transaksi!$J$6:$J$505,Transaksi!$O$6:$O$505,C18))</f>
        <v/>
      </c>
      <c r="J18" s="36" t="str">
        <f aca="false">IF(C18="","",SUMIFS(Transaksi!$K$6:$K$505,Transaksi!$O$6:$O$505,C18))</f>
        <v/>
      </c>
      <c r="K18" s="57" t="str">
        <f aca="false">IF(C18="","",I18-J18)</f>
        <v/>
      </c>
      <c r="L18" s="44" t="str">
        <f aca="false">IF(C18="","",IF(N(H18)=0,IF(J18&gt;0,1.01,0),J18/H18))</f>
        <v/>
      </c>
      <c r="M18" s="58" t="str">
        <f aca="false">IF(C18="","",COUNTIF(Transaksi!$O$6:$O$505,C18))</f>
        <v/>
      </c>
      <c r="N18" s="48" t="str">
        <f aca="false">IF(C18="","",IF(OR(D18="",E18=""),"-",IF(E18&lt;Pengaturan!$C$14,"Selesai",IF(D18&gt;Pengaturan!$C$14,"Direncanakan","Berjalan"))))</f>
        <v/>
      </c>
      <c r="O18" s="48" t="str">
        <f aca="false">IF(C18="","",IF(L18&gt;1,"Melebihi",IF(L18&gt;=Pengaturan!$C$15,"Waspada","Aman")))</f>
        <v/>
      </c>
    </row>
    <row r="19" customFormat="false" ht="15" hidden="false" customHeight="false" outlineLevel="0" collapsed="false">
      <c r="B19" s="31" t="str">
        <f aca="false">IF(C19="","",ROW()-8)</f>
        <v/>
      </c>
      <c r="C19" s="34"/>
      <c r="D19" s="32"/>
      <c r="E19" s="32"/>
      <c r="F19" s="34"/>
      <c r="G19" s="34"/>
      <c r="H19" s="35"/>
      <c r="I19" s="36" t="str">
        <f aca="false">IF(C19="","",SUMIFS(Transaksi!$J$6:$J$505,Transaksi!$O$6:$O$505,C19))</f>
        <v/>
      </c>
      <c r="J19" s="36" t="str">
        <f aca="false">IF(C19="","",SUMIFS(Transaksi!$K$6:$K$505,Transaksi!$O$6:$O$505,C19))</f>
        <v/>
      </c>
      <c r="K19" s="57" t="str">
        <f aca="false">IF(C19="","",I19-J19)</f>
        <v/>
      </c>
      <c r="L19" s="44" t="str">
        <f aca="false">IF(C19="","",IF(N(H19)=0,IF(J19&gt;0,1.01,0),J19/H19))</f>
        <v/>
      </c>
      <c r="M19" s="58" t="str">
        <f aca="false">IF(C19="","",COUNTIF(Transaksi!$O$6:$O$505,C19))</f>
        <v/>
      </c>
      <c r="N19" s="48" t="str">
        <f aca="false">IF(C19="","",IF(OR(D19="",E19=""),"-",IF(E19&lt;Pengaturan!$C$14,"Selesai",IF(D19&gt;Pengaturan!$C$14,"Direncanakan","Berjalan"))))</f>
        <v/>
      </c>
      <c r="O19" s="48" t="str">
        <f aca="false">IF(C19="","",IF(L19&gt;1,"Melebihi",IF(L19&gt;=Pengaturan!$C$15,"Waspada","Aman")))</f>
        <v/>
      </c>
    </row>
    <row r="20" customFormat="false" ht="15" hidden="false" customHeight="false" outlineLevel="0" collapsed="false">
      <c r="B20" s="31" t="str">
        <f aca="false">IF(C20="","",ROW()-8)</f>
        <v/>
      </c>
      <c r="C20" s="34"/>
      <c r="D20" s="32"/>
      <c r="E20" s="32"/>
      <c r="F20" s="34"/>
      <c r="G20" s="34"/>
      <c r="H20" s="35"/>
      <c r="I20" s="36" t="str">
        <f aca="false">IF(C20="","",SUMIFS(Transaksi!$J$6:$J$505,Transaksi!$O$6:$O$505,C20))</f>
        <v/>
      </c>
      <c r="J20" s="36" t="str">
        <f aca="false">IF(C20="","",SUMIFS(Transaksi!$K$6:$K$505,Transaksi!$O$6:$O$505,C20))</f>
        <v/>
      </c>
      <c r="K20" s="57" t="str">
        <f aca="false">IF(C20="","",I20-J20)</f>
        <v/>
      </c>
      <c r="L20" s="44" t="str">
        <f aca="false">IF(C20="","",IF(N(H20)=0,IF(J20&gt;0,1.01,0),J20/H20))</f>
        <v/>
      </c>
      <c r="M20" s="58" t="str">
        <f aca="false">IF(C20="","",COUNTIF(Transaksi!$O$6:$O$505,C20))</f>
        <v/>
      </c>
      <c r="N20" s="48" t="str">
        <f aca="false">IF(C20="","",IF(OR(D20="",E20=""),"-",IF(E20&lt;Pengaturan!$C$14,"Selesai",IF(D20&gt;Pengaturan!$C$14,"Direncanakan","Berjalan"))))</f>
        <v/>
      </c>
      <c r="O20" s="48" t="str">
        <f aca="false">IF(C20="","",IF(L20&gt;1,"Melebihi",IF(L20&gt;=Pengaturan!$C$15,"Waspada","Aman")))</f>
        <v/>
      </c>
    </row>
    <row r="21" customFormat="false" ht="15" hidden="false" customHeight="false" outlineLevel="0" collapsed="false">
      <c r="B21" s="31" t="str">
        <f aca="false">IF(C21="","",ROW()-8)</f>
        <v/>
      </c>
      <c r="C21" s="34"/>
      <c r="D21" s="32"/>
      <c r="E21" s="32"/>
      <c r="F21" s="34"/>
      <c r="G21" s="34"/>
      <c r="H21" s="35"/>
      <c r="I21" s="36" t="str">
        <f aca="false">IF(C21="","",SUMIFS(Transaksi!$J$6:$J$505,Transaksi!$O$6:$O$505,C21))</f>
        <v/>
      </c>
      <c r="J21" s="36" t="str">
        <f aca="false">IF(C21="","",SUMIFS(Transaksi!$K$6:$K$505,Transaksi!$O$6:$O$505,C21))</f>
        <v/>
      </c>
      <c r="K21" s="57" t="str">
        <f aca="false">IF(C21="","",I21-J21)</f>
        <v/>
      </c>
      <c r="L21" s="44" t="str">
        <f aca="false">IF(C21="","",IF(N(H21)=0,IF(J21&gt;0,1.01,0),J21/H21))</f>
        <v/>
      </c>
      <c r="M21" s="58" t="str">
        <f aca="false">IF(C21="","",COUNTIF(Transaksi!$O$6:$O$505,C21))</f>
        <v/>
      </c>
      <c r="N21" s="48" t="str">
        <f aca="false">IF(C21="","",IF(OR(D21="",E21=""),"-",IF(E21&lt;Pengaturan!$C$14,"Selesai",IF(D21&gt;Pengaturan!$C$14,"Direncanakan","Berjalan"))))</f>
        <v/>
      </c>
      <c r="O21" s="48" t="str">
        <f aca="false">IF(C21="","",IF(L21&gt;1,"Melebihi",IF(L21&gt;=Pengaturan!$C$15,"Waspada","Aman")))</f>
        <v/>
      </c>
    </row>
    <row r="22" customFormat="false" ht="15" hidden="false" customHeight="false" outlineLevel="0" collapsed="false">
      <c r="B22" s="31" t="str">
        <f aca="false">IF(C22="","",ROW()-8)</f>
        <v/>
      </c>
      <c r="C22" s="34"/>
      <c r="D22" s="32"/>
      <c r="E22" s="32"/>
      <c r="F22" s="34"/>
      <c r="G22" s="34"/>
      <c r="H22" s="35"/>
      <c r="I22" s="36" t="str">
        <f aca="false">IF(C22="","",SUMIFS(Transaksi!$J$6:$J$505,Transaksi!$O$6:$O$505,C22))</f>
        <v/>
      </c>
      <c r="J22" s="36" t="str">
        <f aca="false">IF(C22="","",SUMIFS(Transaksi!$K$6:$K$505,Transaksi!$O$6:$O$505,C22))</f>
        <v/>
      </c>
      <c r="K22" s="57" t="str">
        <f aca="false">IF(C22="","",I22-J22)</f>
        <v/>
      </c>
      <c r="L22" s="44" t="str">
        <f aca="false">IF(C22="","",IF(N(H22)=0,IF(J22&gt;0,1.01,0),J22/H22))</f>
        <v/>
      </c>
      <c r="M22" s="58" t="str">
        <f aca="false">IF(C22="","",COUNTIF(Transaksi!$O$6:$O$505,C22))</f>
        <v/>
      </c>
      <c r="N22" s="48" t="str">
        <f aca="false">IF(C22="","",IF(OR(D22="",E22=""),"-",IF(E22&lt;Pengaturan!$C$14,"Selesai",IF(D22&gt;Pengaturan!$C$14,"Direncanakan","Berjalan"))))</f>
        <v/>
      </c>
      <c r="O22" s="48" t="str">
        <f aca="false">IF(C22="","",IF(L22&gt;1,"Melebihi",IF(L22&gt;=Pengaturan!$C$15,"Waspada","Aman")))</f>
        <v/>
      </c>
    </row>
    <row r="23" customFormat="false" ht="15" hidden="false" customHeight="false" outlineLevel="0" collapsed="false">
      <c r="B23" s="31" t="str">
        <f aca="false">IF(C23="","",ROW()-8)</f>
        <v/>
      </c>
      <c r="C23" s="34"/>
      <c r="D23" s="32"/>
      <c r="E23" s="32"/>
      <c r="F23" s="34"/>
      <c r="G23" s="34"/>
      <c r="H23" s="35"/>
      <c r="I23" s="36" t="str">
        <f aca="false">IF(C23="","",SUMIFS(Transaksi!$J$6:$J$505,Transaksi!$O$6:$O$505,C23))</f>
        <v/>
      </c>
      <c r="J23" s="36" t="str">
        <f aca="false">IF(C23="","",SUMIFS(Transaksi!$K$6:$K$505,Transaksi!$O$6:$O$505,C23))</f>
        <v/>
      </c>
      <c r="K23" s="57" t="str">
        <f aca="false">IF(C23="","",I23-J23)</f>
        <v/>
      </c>
      <c r="L23" s="44" t="str">
        <f aca="false">IF(C23="","",IF(N(H23)=0,IF(J23&gt;0,1.01,0),J23/H23))</f>
        <v/>
      </c>
      <c r="M23" s="58" t="str">
        <f aca="false">IF(C23="","",COUNTIF(Transaksi!$O$6:$O$505,C23))</f>
        <v/>
      </c>
      <c r="N23" s="48" t="str">
        <f aca="false">IF(C23="","",IF(OR(D23="",E23=""),"-",IF(E23&lt;Pengaturan!$C$14,"Selesai",IF(D23&gt;Pengaturan!$C$14,"Direncanakan","Berjalan"))))</f>
        <v/>
      </c>
      <c r="O23" s="48" t="str">
        <f aca="false">IF(C23="","",IF(L23&gt;1,"Melebihi",IF(L23&gt;=Pengaturan!$C$15,"Waspada","Aman")))</f>
        <v/>
      </c>
    </row>
    <row r="24" customFormat="false" ht="15" hidden="false" customHeight="false" outlineLevel="0" collapsed="false">
      <c r="B24" s="31" t="str">
        <f aca="false">IF(C24="","",ROW()-8)</f>
        <v/>
      </c>
      <c r="C24" s="34"/>
      <c r="D24" s="32"/>
      <c r="E24" s="32"/>
      <c r="F24" s="34"/>
      <c r="G24" s="34"/>
      <c r="H24" s="35"/>
      <c r="I24" s="36" t="str">
        <f aca="false">IF(C24="","",SUMIFS(Transaksi!$J$6:$J$505,Transaksi!$O$6:$O$505,C24))</f>
        <v/>
      </c>
      <c r="J24" s="36" t="str">
        <f aca="false">IF(C24="","",SUMIFS(Transaksi!$K$6:$K$505,Transaksi!$O$6:$O$505,C24))</f>
        <v/>
      </c>
      <c r="K24" s="57" t="str">
        <f aca="false">IF(C24="","",I24-J24)</f>
        <v/>
      </c>
      <c r="L24" s="44" t="str">
        <f aca="false">IF(C24="","",IF(N(H24)=0,IF(J24&gt;0,1.01,0),J24/H24))</f>
        <v/>
      </c>
      <c r="M24" s="58" t="str">
        <f aca="false">IF(C24="","",COUNTIF(Transaksi!$O$6:$O$505,C24))</f>
        <v/>
      </c>
      <c r="N24" s="48" t="str">
        <f aca="false">IF(C24="","",IF(OR(D24="",E24=""),"-",IF(E24&lt;Pengaturan!$C$14,"Selesai",IF(D24&gt;Pengaturan!$C$14,"Direncanakan","Berjalan"))))</f>
        <v/>
      </c>
      <c r="O24" s="48" t="str">
        <f aca="false">IF(C24="","",IF(L24&gt;1,"Melebihi",IF(L24&gt;=Pengaturan!$C$15,"Waspada","Aman")))</f>
        <v/>
      </c>
    </row>
    <row r="25" customFormat="false" ht="15" hidden="false" customHeight="false" outlineLevel="0" collapsed="false">
      <c r="B25" s="31" t="str">
        <f aca="false">IF(C25="","",ROW()-8)</f>
        <v/>
      </c>
      <c r="C25" s="34"/>
      <c r="D25" s="32"/>
      <c r="E25" s="32"/>
      <c r="F25" s="34"/>
      <c r="G25" s="34"/>
      <c r="H25" s="35"/>
      <c r="I25" s="36" t="str">
        <f aca="false">IF(C25="","",SUMIFS(Transaksi!$J$6:$J$505,Transaksi!$O$6:$O$505,C25))</f>
        <v/>
      </c>
      <c r="J25" s="36" t="str">
        <f aca="false">IF(C25="","",SUMIFS(Transaksi!$K$6:$K$505,Transaksi!$O$6:$O$505,C25))</f>
        <v/>
      </c>
      <c r="K25" s="57" t="str">
        <f aca="false">IF(C25="","",I25-J25)</f>
        <v/>
      </c>
      <c r="L25" s="44" t="str">
        <f aca="false">IF(C25="","",IF(N(H25)=0,IF(J25&gt;0,1.01,0),J25/H25))</f>
        <v/>
      </c>
      <c r="M25" s="58" t="str">
        <f aca="false">IF(C25="","",COUNTIF(Transaksi!$O$6:$O$505,C25))</f>
        <v/>
      </c>
      <c r="N25" s="48" t="str">
        <f aca="false">IF(C25="","",IF(OR(D25="",E25=""),"-",IF(E25&lt;Pengaturan!$C$14,"Selesai",IF(D25&gt;Pengaturan!$C$14,"Direncanakan","Berjalan"))))</f>
        <v/>
      </c>
      <c r="O25" s="48" t="str">
        <f aca="false">IF(C25="","",IF(L25&gt;1,"Melebihi",IF(L25&gt;=Pengaturan!$C$15,"Waspada","Aman")))</f>
        <v/>
      </c>
    </row>
    <row r="26" customFormat="false" ht="15" hidden="false" customHeight="false" outlineLevel="0" collapsed="false">
      <c r="B26" s="31" t="str">
        <f aca="false">IF(C26="","",ROW()-8)</f>
        <v/>
      </c>
      <c r="C26" s="34"/>
      <c r="D26" s="32"/>
      <c r="E26" s="32"/>
      <c r="F26" s="34"/>
      <c r="G26" s="34"/>
      <c r="H26" s="35"/>
      <c r="I26" s="36" t="str">
        <f aca="false">IF(C26="","",SUMIFS(Transaksi!$J$6:$J$505,Transaksi!$O$6:$O$505,C26))</f>
        <v/>
      </c>
      <c r="J26" s="36" t="str">
        <f aca="false">IF(C26="","",SUMIFS(Transaksi!$K$6:$K$505,Transaksi!$O$6:$O$505,C26))</f>
        <v/>
      </c>
      <c r="K26" s="57" t="str">
        <f aca="false">IF(C26="","",I26-J26)</f>
        <v/>
      </c>
      <c r="L26" s="44" t="str">
        <f aca="false">IF(C26="","",IF(N(H26)=0,IF(J26&gt;0,1.01,0),J26/H26))</f>
        <v/>
      </c>
      <c r="M26" s="58" t="str">
        <f aca="false">IF(C26="","",COUNTIF(Transaksi!$O$6:$O$505,C26))</f>
        <v/>
      </c>
      <c r="N26" s="48" t="str">
        <f aca="false">IF(C26="","",IF(OR(D26="",E26=""),"-",IF(E26&lt;Pengaturan!$C$14,"Selesai",IF(D26&gt;Pengaturan!$C$14,"Direncanakan","Berjalan"))))</f>
        <v/>
      </c>
      <c r="O26" s="48" t="str">
        <f aca="false">IF(C26="","",IF(L26&gt;1,"Melebihi",IF(L26&gt;=Pengaturan!$C$15,"Waspada","Aman")))</f>
        <v/>
      </c>
    </row>
    <row r="27" customFormat="false" ht="15" hidden="false" customHeight="false" outlineLevel="0" collapsed="false">
      <c r="B27" s="31" t="str">
        <f aca="false">IF(C27="","",ROW()-8)</f>
        <v/>
      </c>
      <c r="C27" s="34"/>
      <c r="D27" s="32"/>
      <c r="E27" s="32"/>
      <c r="F27" s="34"/>
      <c r="G27" s="34"/>
      <c r="H27" s="35"/>
      <c r="I27" s="36" t="str">
        <f aca="false">IF(C27="","",SUMIFS(Transaksi!$J$6:$J$505,Transaksi!$O$6:$O$505,C27))</f>
        <v/>
      </c>
      <c r="J27" s="36" t="str">
        <f aca="false">IF(C27="","",SUMIFS(Transaksi!$K$6:$K$505,Transaksi!$O$6:$O$505,C27))</f>
        <v/>
      </c>
      <c r="K27" s="57" t="str">
        <f aca="false">IF(C27="","",I27-J27)</f>
        <v/>
      </c>
      <c r="L27" s="44" t="str">
        <f aca="false">IF(C27="","",IF(N(H27)=0,IF(J27&gt;0,1.01,0),J27/H27))</f>
        <v/>
      </c>
      <c r="M27" s="58" t="str">
        <f aca="false">IF(C27="","",COUNTIF(Transaksi!$O$6:$O$505,C27))</f>
        <v/>
      </c>
      <c r="N27" s="48" t="str">
        <f aca="false">IF(C27="","",IF(OR(D27="",E27=""),"-",IF(E27&lt;Pengaturan!$C$14,"Selesai",IF(D27&gt;Pengaturan!$C$14,"Direncanakan","Berjalan"))))</f>
        <v/>
      </c>
      <c r="O27" s="48" t="str">
        <f aca="false">IF(C27="","",IF(L27&gt;1,"Melebihi",IF(L27&gt;=Pengaturan!$C$15,"Waspada","Aman")))</f>
        <v/>
      </c>
    </row>
    <row r="28" customFormat="false" ht="15" hidden="false" customHeight="false" outlineLevel="0" collapsed="false">
      <c r="B28" s="31" t="str">
        <f aca="false">IF(C28="","",ROW()-8)</f>
        <v/>
      </c>
      <c r="C28" s="34"/>
      <c r="D28" s="32"/>
      <c r="E28" s="32"/>
      <c r="F28" s="34"/>
      <c r="G28" s="34"/>
      <c r="H28" s="35"/>
      <c r="I28" s="36" t="str">
        <f aca="false">IF(C28="","",SUMIFS(Transaksi!$J$6:$J$505,Transaksi!$O$6:$O$505,C28))</f>
        <v/>
      </c>
      <c r="J28" s="36" t="str">
        <f aca="false">IF(C28="","",SUMIFS(Transaksi!$K$6:$K$505,Transaksi!$O$6:$O$505,C28))</f>
        <v/>
      </c>
      <c r="K28" s="57" t="str">
        <f aca="false">IF(C28="","",I28-J28)</f>
        <v/>
      </c>
      <c r="L28" s="44" t="str">
        <f aca="false">IF(C28="","",IF(N(H28)=0,IF(J28&gt;0,1.01,0),J28/H28))</f>
        <v/>
      </c>
      <c r="M28" s="58" t="str">
        <f aca="false">IF(C28="","",COUNTIF(Transaksi!$O$6:$O$505,C28))</f>
        <v/>
      </c>
      <c r="N28" s="48" t="str">
        <f aca="false">IF(C28="","",IF(OR(D28="",E28=""),"-",IF(E28&lt;Pengaturan!$C$14,"Selesai",IF(D28&gt;Pengaturan!$C$14,"Direncanakan","Berjalan"))))</f>
        <v/>
      </c>
      <c r="O28" s="48" t="str">
        <f aca="false">IF(C28="","",IF(L28&gt;1,"Melebihi",IF(L28&gt;=Pengaturan!$C$15,"Waspada","Aman")))</f>
        <v/>
      </c>
    </row>
    <row r="29" customFormat="false" ht="21.75" hidden="false" customHeight="true" outlineLevel="0" collapsed="false">
      <c r="B29" s="45" t="s">
        <v>207</v>
      </c>
      <c r="C29" s="45"/>
      <c r="D29" s="45"/>
      <c r="E29" s="45"/>
      <c r="F29" s="45"/>
      <c r="G29" s="45"/>
      <c r="H29" s="46" t="n">
        <f aca="false">SUM(H9:H28)</f>
        <v>28300000</v>
      </c>
      <c r="I29" s="46" t="n">
        <f aca="false">SUM(I9:I28)</f>
        <v>20700000</v>
      </c>
      <c r="J29" s="46" t="n">
        <f aca="false">SUM(J9:J28)</f>
        <v>16150000</v>
      </c>
      <c r="K29" s="46" t="n">
        <f aca="false">SUM(K9:K28)</f>
        <v>4550000</v>
      </c>
      <c r="L29" s="47" t="n">
        <f aca="false">IF(H29=0,0,J29/H29)</f>
        <v>0.570671378091873</v>
      </c>
      <c r="M29" s="59" t="n">
        <f aca="false">SUM(M9:M28)</f>
        <v>16</v>
      </c>
      <c r="N29" s="49"/>
      <c r="O29" s="49"/>
    </row>
    <row r="30" customFormat="false" ht="21.75" hidden="false" customHeight="true" outlineLevel="0" collapsed="false">
      <c r="B30" s="48" t="s">
        <v>208</v>
      </c>
      <c r="C30" s="48"/>
      <c r="D30" s="48"/>
      <c r="E30" s="48"/>
      <c r="F30" s="48"/>
      <c r="G30" s="48"/>
      <c r="H30" s="60"/>
      <c r="I30" s="36" t="n">
        <f aca="false">SUM(Transaksi!$J$6:$J$505)-I29</f>
        <v>143000</v>
      </c>
      <c r="J30" s="36" t="n">
        <f aca="false">SUM(Transaksi!$K$6:$K$505)-J29</f>
        <v>14380000</v>
      </c>
      <c r="K30" s="57" t="n">
        <f aca="false">I30-J30</f>
        <v>-14237000</v>
      </c>
      <c r="L30" s="60"/>
      <c r="M30" s="58" t="n">
        <f aca="false">COUNT(Transaksi!$C$6:$C$505)-M29</f>
        <v>23</v>
      </c>
      <c r="N30" s="60"/>
      <c r="O30" s="60"/>
    </row>
    <row r="31" customFormat="false" ht="21.75" hidden="false" customHeight="true" outlineLevel="0" collapsed="false">
      <c r="B31" s="61" t="s">
        <v>209</v>
      </c>
      <c r="C31" s="61"/>
      <c r="D31" s="61"/>
      <c r="E31" s="61"/>
      <c r="F31" s="61"/>
      <c r="G31" s="61"/>
      <c r="H31" s="62"/>
      <c r="I31" s="63" t="n">
        <f aca="false">I29+I30</f>
        <v>20843000</v>
      </c>
      <c r="J31" s="63" t="n">
        <f aca="false">J29+J30</f>
        <v>30530000</v>
      </c>
      <c r="K31" s="63" t="n">
        <f aca="false">K29+K30</f>
        <v>-9687000</v>
      </c>
      <c r="L31" s="62"/>
      <c r="M31" s="64" t="n">
        <f aca="false">M29+M30</f>
        <v>39</v>
      </c>
      <c r="N31" s="62"/>
      <c r="O31" s="62"/>
    </row>
  </sheetData>
  <mergeCells count="15">
    <mergeCell ref="B1:O1"/>
    <mergeCell ref="B2:O2"/>
    <mergeCell ref="B4:C4"/>
    <mergeCell ref="D4:F4"/>
    <mergeCell ref="G4:I4"/>
    <mergeCell ref="J4:L4"/>
    <mergeCell ref="M4:O4"/>
    <mergeCell ref="B5:C6"/>
    <mergeCell ref="D5:F6"/>
    <mergeCell ref="G5:I6"/>
    <mergeCell ref="J5:L6"/>
    <mergeCell ref="M5:O6"/>
    <mergeCell ref="B29:G29"/>
    <mergeCell ref="B30:G30"/>
    <mergeCell ref="B31:G31"/>
  </mergeCells>
  <conditionalFormatting sqref="N9:N28">
    <cfRule type="cellIs" priority="2" operator="equal" aboveAverage="0" equalAverage="0" bottom="0" percent="0" rank="0" text="" dxfId="12">
      <formula>"Selesai"</formula>
    </cfRule>
    <cfRule type="cellIs" priority="3" operator="equal" aboveAverage="0" equalAverage="0" bottom="0" percent="0" rank="0" text="" dxfId="13">
      <formula>"Berjalan"</formula>
    </cfRule>
    <cfRule type="cellIs" priority="4" operator="equal" aboveAverage="0" equalAverage="0" bottom="0" percent="0" rank="0" text="" dxfId="15">
      <formula>"Direncanakan"</formula>
    </cfRule>
  </conditionalFormatting>
  <conditionalFormatting sqref="O9:O28">
    <cfRule type="cellIs" priority="5" operator="equal" aboveAverage="0" equalAverage="0" bottom="0" percent="0" rank="0" text="" dxfId="12">
      <formula>"Aman"</formula>
    </cfRule>
    <cfRule type="cellIs" priority="6" operator="equal" aboveAverage="0" equalAverage="0" bottom="0" percent="0" rank="0" text="" dxfId="13">
      <formula>"Waspada"</formula>
    </cfRule>
    <cfRule type="cellIs" priority="7" operator="equal" aboveAverage="0" equalAverage="0" bottom="0" percent="0" rank="0" text="" dxfId="14">
      <formula>"Melebihi"</formula>
    </cfRule>
  </conditionalFormatting>
  <conditionalFormatting sqref="L9:L28">
    <cfRule type="dataBar" priority="8">
      <dataBar showValue="1" minLength="10" maxLength="90">
        <cfvo type="num" val="0"/>
        <cfvo type="num" val="1"/>
        <color rgb="FFFFD600"/>
      </dataBar>
      <extLst>
        <ext xmlns:x14="http://schemas.microsoft.com/office/spreadsheetml/2009/9/main" uri="{B025F937-C7B1-47D3-B67F-A62EFF666E3E}">
          <x14:id>{883026A2-D844-4E71-AE4D-CD417EB52EE8}</x14:id>
        </ext>
      </extLst>
    </cfRule>
  </conditionalFormatting>
  <dataValidations count="2">
    <dataValidation allowBlank="true" error="Masukkan tanggal yang benar." errorStyle="stop" errorTitle="Tanggal tidak valid" operator="greaterThan" showDropDown="false" showErrorMessage="true" showInputMessage="false" sqref="D9:E28" type="date">
      <formula1>36526</formula1>
      <formula2>0</formula2>
    </dataValidation>
    <dataValidation allowBlank="true" error="Isi angka positif." errorStyle="stop" errorTitle="Angka tidak valid" operator="greaterThanOrEqual" showDropDown="false" showErrorMessage="true" showInputMessage="false" sqref="H9:H28" type="decimal">
      <formula1>0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3026A2-D844-4E71-AE4D-CD417EB52EE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FD600"/>
              <x14:axisColor rgb="FF000000"/>
            </x14:dataBar>
          </x14:cfRule>
          <xm:sqref>L9:L28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B26"/>
    <pageSetUpPr fitToPage="true"/>
  </sheetPr>
  <dimension ref="A1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24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9.5" hidden="false" customHeight="true" outlineLevel="0" collapsed="false">
      <c r="A2" s="1"/>
      <c r="B2" s="3" t="str">
        <f aca="false">"DAFTAR ASET / INVENTARIS — penyusutan garis lurus s.d. tanggal laporan (lihat Pengaturan)  •  Tahun Buku "&amp;Pengaturan!$C$6</f>
        <v>DAFTAR ASET / INVENTARIS — penyusutan garis lurus s.d. tanggal laporan (lihat Pengaturan)  •  Tahun Buku 2026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5" customFormat="false" ht="33.75" hidden="false" customHeight="true" outlineLevel="0" collapsed="false">
      <c r="B5" s="30" t="s">
        <v>27</v>
      </c>
      <c r="C5" s="30" t="s">
        <v>210</v>
      </c>
      <c r="D5" s="30" t="s">
        <v>211</v>
      </c>
      <c r="E5" s="30" t="s">
        <v>29</v>
      </c>
      <c r="F5" s="30" t="s">
        <v>212</v>
      </c>
      <c r="G5" s="30" t="s">
        <v>213</v>
      </c>
      <c r="H5" s="30" t="s">
        <v>214</v>
      </c>
      <c r="I5" s="30" t="s">
        <v>215</v>
      </c>
      <c r="J5" s="30" t="s">
        <v>216</v>
      </c>
      <c r="K5" s="30" t="s">
        <v>217</v>
      </c>
      <c r="L5" s="30" t="s">
        <v>218</v>
      </c>
      <c r="M5" s="30" t="s">
        <v>219</v>
      </c>
      <c r="N5" s="30" t="s">
        <v>220</v>
      </c>
      <c r="O5" s="30" t="s">
        <v>221</v>
      </c>
    </row>
    <row r="6" customFormat="false" ht="15" hidden="false" customHeight="false" outlineLevel="0" collapsed="false">
      <c r="B6" s="31" t="n">
        <f aca="false">IF(D6="","",ROW()-5)</f>
        <v>1</v>
      </c>
      <c r="C6" s="33" t="s">
        <v>222</v>
      </c>
      <c r="D6" s="34" t="s">
        <v>223</v>
      </c>
      <c r="E6" s="34" t="s">
        <v>224</v>
      </c>
      <c r="F6" s="32" t="n">
        <v>45717</v>
      </c>
      <c r="G6" s="65" t="n">
        <v>1</v>
      </c>
      <c r="H6" s="35" t="n">
        <v>6500000</v>
      </c>
      <c r="I6" s="36" t="n">
        <f aca="false">IF(D6="","",N(G6)*N(H6))</f>
        <v>6500000</v>
      </c>
      <c r="J6" s="66" t="n">
        <v>4</v>
      </c>
      <c r="K6" s="36" t="n">
        <f aca="false">IF(D6="","",IF(N(J6)&gt;0,I6/J6,0))</f>
        <v>1625000</v>
      </c>
      <c r="L6" s="36" t="n">
        <f aca="false">IF(D6="","",IF(F6="",0,MIN(I6,K6*MAX(0,(YEAR(Pengaturan!$C$14)-YEAR(F6))*12+MONTH(Pengaturan!$C$14)-MONTH(F6))/12)))</f>
        <v>2572916.66666667</v>
      </c>
      <c r="M6" s="41" t="n">
        <f aca="false">IF(D6="","",I6-L6)</f>
        <v>3927083.33333333</v>
      </c>
      <c r="N6" s="33" t="s">
        <v>225</v>
      </c>
      <c r="O6" s="34" t="s">
        <v>226</v>
      </c>
    </row>
    <row r="7" customFormat="false" ht="15" hidden="false" customHeight="false" outlineLevel="0" collapsed="false">
      <c r="B7" s="31" t="n">
        <f aca="false">IF(D7="","",ROW()-5)</f>
        <v>2</v>
      </c>
      <c r="C7" s="33" t="s">
        <v>227</v>
      </c>
      <c r="D7" s="34" t="s">
        <v>228</v>
      </c>
      <c r="E7" s="34" t="s">
        <v>229</v>
      </c>
      <c r="F7" s="32" t="n">
        <v>45726</v>
      </c>
      <c r="G7" s="65" t="n">
        <v>2</v>
      </c>
      <c r="H7" s="35" t="n">
        <v>750000</v>
      </c>
      <c r="I7" s="36" t="n">
        <f aca="false">IF(D7="","",N(G7)*N(H7))</f>
        <v>1500000</v>
      </c>
      <c r="J7" s="66" t="n">
        <v>5</v>
      </c>
      <c r="K7" s="36" t="n">
        <f aca="false">IF(D7="","",IF(N(J7)&gt;0,I7/J7,0))</f>
        <v>300000</v>
      </c>
      <c r="L7" s="36" t="n">
        <f aca="false">IF(D7="","",IF(F7="",0,MIN(I7,K7*MAX(0,(YEAR(Pengaturan!$C$14)-YEAR(F7))*12+MONTH(Pengaturan!$C$14)-MONTH(F7))/12)))</f>
        <v>475000</v>
      </c>
      <c r="M7" s="41" t="n">
        <f aca="false">IF(D7="","",I7-L7)</f>
        <v>1025000</v>
      </c>
      <c r="N7" s="33" t="s">
        <v>225</v>
      </c>
      <c r="O7" s="34" t="s">
        <v>226</v>
      </c>
    </row>
    <row r="8" customFormat="false" ht="15" hidden="false" customHeight="false" outlineLevel="0" collapsed="false">
      <c r="B8" s="31" t="n">
        <f aca="false">IF(D8="","",ROW()-5)</f>
        <v>3</v>
      </c>
      <c r="C8" s="33" t="s">
        <v>230</v>
      </c>
      <c r="D8" s="34" t="s">
        <v>231</v>
      </c>
      <c r="E8" s="34" t="s">
        <v>229</v>
      </c>
      <c r="F8" s="32" t="n">
        <v>45672</v>
      </c>
      <c r="G8" s="65" t="n">
        <v>1</v>
      </c>
      <c r="H8" s="35" t="n">
        <v>1200000</v>
      </c>
      <c r="I8" s="36" t="n">
        <f aca="false">IF(D8="","",N(G8)*N(H8))</f>
        <v>1200000</v>
      </c>
      <c r="J8" s="66" t="n">
        <v>8</v>
      </c>
      <c r="K8" s="36" t="n">
        <f aca="false">IF(D8="","",IF(N(J8)&gt;0,I8/J8,0))</f>
        <v>150000</v>
      </c>
      <c r="L8" s="36" t="n">
        <f aca="false">IF(D8="","",IF(F8="",0,MIN(I8,K8*MAX(0,(YEAR(Pengaturan!$C$14)-YEAR(F8))*12+MONTH(Pengaturan!$C$14)-MONTH(F8))/12)))</f>
        <v>262500</v>
      </c>
      <c r="M8" s="41" t="n">
        <f aca="false">IF(D8="","",I8-L8)</f>
        <v>937500</v>
      </c>
      <c r="N8" s="33" t="s">
        <v>225</v>
      </c>
      <c r="O8" s="34" t="s">
        <v>226</v>
      </c>
    </row>
    <row r="9" customFormat="false" ht="15" hidden="false" customHeight="false" outlineLevel="0" collapsed="false">
      <c r="B9" s="31" t="n">
        <f aca="false">IF(D9="","",ROW()-5)</f>
        <v>4</v>
      </c>
      <c r="C9" s="33" t="s">
        <v>232</v>
      </c>
      <c r="D9" s="34" t="s">
        <v>233</v>
      </c>
      <c r="E9" s="34" t="s">
        <v>224</v>
      </c>
      <c r="F9" s="32" t="n">
        <v>45521</v>
      </c>
      <c r="G9" s="65" t="n">
        <v>1</v>
      </c>
      <c r="H9" s="35" t="n">
        <v>3000000</v>
      </c>
      <c r="I9" s="36" t="n">
        <f aca="false">IF(D9="","",N(G9)*N(H9))</f>
        <v>3000000</v>
      </c>
      <c r="J9" s="66" t="n">
        <v>5</v>
      </c>
      <c r="K9" s="36" t="n">
        <f aca="false">IF(D9="","",IF(N(J9)&gt;0,I9/J9,0))</f>
        <v>600000</v>
      </c>
      <c r="L9" s="36" t="n">
        <f aca="false">IF(D9="","",IF(F9="",0,MIN(I9,K9*MAX(0,(YEAR(Pengaturan!$C$14)-YEAR(F9))*12+MONTH(Pengaturan!$C$14)-MONTH(F9))/12)))</f>
        <v>1300000</v>
      </c>
      <c r="M9" s="41" t="n">
        <f aca="false">IF(D9="","",I9-L9)</f>
        <v>1700000</v>
      </c>
      <c r="N9" s="33" t="s">
        <v>234</v>
      </c>
      <c r="O9" s="34" t="s">
        <v>235</v>
      </c>
    </row>
    <row r="10" customFormat="false" ht="15" hidden="false" customHeight="false" outlineLevel="0" collapsed="false">
      <c r="B10" s="31" t="n">
        <f aca="false">IF(D10="","",ROW()-5)</f>
        <v>5</v>
      </c>
      <c r="C10" s="33" t="s">
        <v>236</v>
      </c>
      <c r="D10" s="34" t="s">
        <v>237</v>
      </c>
      <c r="E10" s="34" t="s">
        <v>224</v>
      </c>
      <c r="F10" s="32" t="n">
        <v>46181</v>
      </c>
      <c r="G10" s="65" t="n">
        <v>1</v>
      </c>
      <c r="H10" s="35" t="n">
        <v>4500000</v>
      </c>
      <c r="I10" s="36" t="n">
        <f aca="false">IF(D10="","",N(G10)*N(H10))</f>
        <v>4500000</v>
      </c>
      <c r="J10" s="66" t="n">
        <v>4</v>
      </c>
      <c r="K10" s="36" t="n">
        <f aca="false">IF(D10="","",IF(N(J10)&gt;0,I10/J10,0))</f>
        <v>1125000</v>
      </c>
      <c r="L10" s="36" t="n">
        <f aca="false">IF(D10="","",IF(F10="",0,MIN(I10,K10*MAX(0,(YEAR(Pengaturan!$C$14)-YEAR(F10))*12+MONTH(Pengaturan!$C$14)-MONTH(F10))/12)))</f>
        <v>375000</v>
      </c>
      <c r="M10" s="41" t="n">
        <f aca="false">IF(D10="","",I10-L10)</f>
        <v>4125000</v>
      </c>
      <c r="N10" s="33" t="s">
        <v>225</v>
      </c>
      <c r="O10" s="34" t="s">
        <v>226</v>
      </c>
    </row>
    <row r="11" customFormat="false" ht="15" hidden="false" customHeight="false" outlineLevel="0" collapsed="false">
      <c r="B11" s="31" t="n">
        <f aca="false">IF(D11="","",ROW()-5)</f>
        <v>6</v>
      </c>
      <c r="C11" s="33" t="s">
        <v>238</v>
      </c>
      <c r="D11" s="34" t="s">
        <v>239</v>
      </c>
      <c r="E11" s="34" t="s">
        <v>229</v>
      </c>
      <c r="F11" s="32" t="n">
        <v>46270</v>
      </c>
      <c r="G11" s="65" t="n">
        <v>20</v>
      </c>
      <c r="H11" s="35" t="n">
        <v>60000</v>
      </c>
      <c r="I11" s="36" t="n">
        <f aca="false">IF(D11="","",N(G11)*N(H11))</f>
        <v>1200000</v>
      </c>
      <c r="J11" s="66" t="n">
        <v>4</v>
      </c>
      <c r="K11" s="36" t="n">
        <f aca="false">IF(D11="","",IF(N(J11)&gt;0,I11/J11,0))</f>
        <v>300000</v>
      </c>
      <c r="L11" s="36" t="n">
        <f aca="false">IF(D11="","",IF(F11="",0,MIN(I11,K11*MAX(0,(YEAR(Pengaturan!$C$14)-YEAR(F11))*12+MONTH(Pengaturan!$C$14)-MONTH(F11))/12)))</f>
        <v>25000</v>
      </c>
      <c r="M11" s="41" t="n">
        <f aca="false">IF(D11="","",I11-L11)</f>
        <v>1175000</v>
      </c>
      <c r="N11" s="33" t="s">
        <v>225</v>
      </c>
      <c r="O11" s="34" t="s">
        <v>235</v>
      </c>
    </row>
    <row r="12" customFormat="false" ht="15" hidden="false" customHeight="false" outlineLevel="0" collapsed="false">
      <c r="B12" s="31" t="n">
        <f aca="false">IF(D12="","",ROW()-5)</f>
        <v>7</v>
      </c>
      <c r="C12" s="33" t="s">
        <v>240</v>
      </c>
      <c r="D12" s="34" t="s">
        <v>241</v>
      </c>
      <c r="E12" s="34" t="s">
        <v>242</v>
      </c>
      <c r="F12" s="32" t="n">
        <v>46270</v>
      </c>
      <c r="G12" s="65" t="n">
        <v>1</v>
      </c>
      <c r="H12" s="35" t="n">
        <v>550000</v>
      </c>
      <c r="I12" s="36" t="n">
        <f aca="false">IF(D12="","",N(G12)*N(H12))</f>
        <v>550000</v>
      </c>
      <c r="J12" s="66" t="n">
        <v>2</v>
      </c>
      <c r="K12" s="36" t="n">
        <f aca="false">IF(D12="","",IF(N(J12)&gt;0,I12/J12,0))</f>
        <v>275000</v>
      </c>
      <c r="L12" s="36" t="n">
        <f aca="false">IF(D12="","",IF(F12="",0,MIN(I12,K12*MAX(0,(YEAR(Pengaturan!$C$14)-YEAR(F12))*12+MONTH(Pengaturan!$C$14)-MONTH(F12))/12)))</f>
        <v>22916.6666666667</v>
      </c>
      <c r="M12" s="41" t="n">
        <f aca="false">IF(D12="","",I12-L12)</f>
        <v>527083.333333333</v>
      </c>
      <c r="N12" s="33" t="s">
        <v>225</v>
      </c>
      <c r="O12" s="34" t="s">
        <v>235</v>
      </c>
    </row>
    <row r="13" customFormat="false" ht="15" hidden="false" customHeight="false" outlineLevel="0" collapsed="false">
      <c r="B13" s="31" t="str">
        <f aca="false">IF(D13="","",ROW()-5)</f>
        <v/>
      </c>
      <c r="C13" s="33"/>
      <c r="D13" s="34"/>
      <c r="E13" s="34"/>
      <c r="F13" s="32"/>
      <c r="G13" s="65"/>
      <c r="H13" s="35"/>
      <c r="I13" s="36" t="str">
        <f aca="false">IF(D13="","",N(G13)*N(H13))</f>
        <v/>
      </c>
      <c r="J13" s="66"/>
      <c r="K13" s="36" t="str">
        <f aca="false">IF(D13="","",IF(N(J13)&gt;0,I13/J13,0))</f>
        <v/>
      </c>
      <c r="L13" s="36" t="str">
        <f aca="false">IF(D13="","",IF(F13="",0,MIN(I13,K13*MAX(0,(YEAR(Pengaturan!$C$14)-YEAR(F13))*12+MONTH(Pengaturan!$C$14)-MONTH(F13))/12)))</f>
        <v/>
      </c>
      <c r="M13" s="41" t="str">
        <f aca="false">IF(D13="","",I13-L13)</f>
        <v/>
      </c>
      <c r="N13" s="33"/>
      <c r="O13" s="34"/>
    </row>
    <row r="14" customFormat="false" ht="15" hidden="false" customHeight="false" outlineLevel="0" collapsed="false">
      <c r="B14" s="31" t="str">
        <f aca="false">IF(D14="","",ROW()-5)</f>
        <v/>
      </c>
      <c r="C14" s="33"/>
      <c r="D14" s="34"/>
      <c r="E14" s="34"/>
      <c r="F14" s="32"/>
      <c r="G14" s="65"/>
      <c r="H14" s="35"/>
      <c r="I14" s="36" t="str">
        <f aca="false">IF(D14="","",N(G14)*N(H14))</f>
        <v/>
      </c>
      <c r="J14" s="66"/>
      <c r="K14" s="36" t="str">
        <f aca="false">IF(D14="","",IF(N(J14)&gt;0,I14/J14,0))</f>
        <v/>
      </c>
      <c r="L14" s="36" t="str">
        <f aca="false">IF(D14="","",IF(F14="",0,MIN(I14,K14*MAX(0,(YEAR(Pengaturan!$C$14)-YEAR(F14))*12+MONTH(Pengaturan!$C$14)-MONTH(F14))/12)))</f>
        <v/>
      </c>
      <c r="M14" s="41" t="str">
        <f aca="false">IF(D14="","",I14-L14)</f>
        <v/>
      </c>
      <c r="N14" s="33"/>
      <c r="O14" s="34"/>
    </row>
    <row r="15" customFormat="false" ht="15" hidden="false" customHeight="false" outlineLevel="0" collapsed="false">
      <c r="B15" s="31" t="str">
        <f aca="false">IF(D15="","",ROW()-5)</f>
        <v/>
      </c>
      <c r="C15" s="33"/>
      <c r="D15" s="34"/>
      <c r="E15" s="34"/>
      <c r="F15" s="32"/>
      <c r="G15" s="65"/>
      <c r="H15" s="35"/>
      <c r="I15" s="36" t="str">
        <f aca="false">IF(D15="","",N(G15)*N(H15))</f>
        <v/>
      </c>
      <c r="J15" s="66"/>
      <c r="K15" s="36" t="str">
        <f aca="false">IF(D15="","",IF(N(J15)&gt;0,I15/J15,0))</f>
        <v/>
      </c>
      <c r="L15" s="36" t="str">
        <f aca="false">IF(D15="","",IF(F15="",0,MIN(I15,K15*MAX(0,(YEAR(Pengaturan!$C$14)-YEAR(F15))*12+MONTH(Pengaturan!$C$14)-MONTH(F15))/12)))</f>
        <v/>
      </c>
      <c r="M15" s="41" t="str">
        <f aca="false">IF(D15="","",I15-L15)</f>
        <v/>
      </c>
      <c r="N15" s="33"/>
      <c r="O15" s="34"/>
    </row>
    <row r="16" customFormat="false" ht="15" hidden="false" customHeight="false" outlineLevel="0" collapsed="false">
      <c r="B16" s="31" t="str">
        <f aca="false">IF(D16="","",ROW()-5)</f>
        <v/>
      </c>
      <c r="C16" s="33"/>
      <c r="D16" s="34"/>
      <c r="E16" s="34"/>
      <c r="F16" s="32"/>
      <c r="G16" s="65"/>
      <c r="H16" s="35"/>
      <c r="I16" s="36" t="str">
        <f aca="false">IF(D16="","",N(G16)*N(H16))</f>
        <v/>
      </c>
      <c r="J16" s="66"/>
      <c r="K16" s="36" t="str">
        <f aca="false">IF(D16="","",IF(N(J16)&gt;0,I16/J16,0))</f>
        <v/>
      </c>
      <c r="L16" s="36" t="str">
        <f aca="false">IF(D16="","",IF(F16="",0,MIN(I16,K16*MAX(0,(YEAR(Pengaturan!$C$14)-YEAR(F16))*12+MONTH(Pengaturan!$C$14)-MONTH(F16))/12)))</f>
        <v/>
      </c>
      <c r="M16" s="41" t="str">
        <f aca="false">IF(D16="","",I16-L16)</f>
        <v/>
      </c>
      <c r="N16" s="33"/>
      <c r="O16" s="34"/>
    </row>
    <row r="17" customFormat="false" ht="15" hidden="false" customHeight="false" outlineLevel="0" collapsed="false">
      <c r="B17" s="31" t="str">
        <f aca="false">IF(D17="","",ROW()-5)</f>
        <v/>
      </c>
      <c r="C17" s="33"/>
      <c r="D17" s="34"/>
      <c r="E17" s="34"/>
      <c r="F17" s="32"/>
      <c r="G17" s="65"/>
      <c r="H17" s="35"/>
      <c r="I17" s="36" t="str">
        <f aca="false">IF(D17="","",N(G17)*N(H17))</f>
        <v/>
      </c>
      <c r="J17" s="66"/>
      <c r="K17" s="36" t="str">
        <f aca="false">IF(D17="","",IF(N(J17)&gt;0,I17/J17,0))</f>
        <v/>
      </c>
      <c r="L17" s="36" t="str">
        <f aca="false">IF(D17="","",IF(F17="",0,MIN(I17,K17*MAX(0,(YEAR(Pengaturan!$C$14)-YEAR(F17))*12+MONTH(Pengaturan!$C$14)-MONTH(F17))/12)))</f>
        <v/>
      </c>
      <c r="M17" s="41" t="str">
        <f aca="false">IF(D17="","",I17-L17)</f>
        <v/>
      </c>
      <c r="N17" s="33"/>
      <c r="O17" s="34"/>
    </row>
    <row r="18" customFormat="false" ht="15" hidden="false" customHeight="false" outlineLevel="0" collapsed="false">
      <c r="B18" s="31" t="str">
        <f aca="false">IF(D18="","",ROW()-5)</f>
        <v/>
      </c>
      <c r="C18" s="33"/>
      <c r="D18" s="34"/>
      <c r="E18" s="34"/>
      <c r="F18" s="32"/>
      <c r="G18" s="65"/>
      <c r="H18" s="35"/>
      <c r="I18" s="36" t="str">
        <f aca="false">IF(D18="","",N(G18)*N(H18))</f>
        <v/>
      </c>
      <c r="J18" s="66"/>
      <c r="K18" s="36" t="str">
        <f aca="false">IF(D18="","",IF(N(J18)&gt;0,I18/J18,0))</f>
        <v/>
      </c>
      <c r="L18" s="36" t="str">
        <f aca="false">IF(D18="","",IF(F18="",0,MIN(I18,K18*MAX(0,(YEAR(Pengaturan!$C$14)-YEAR(F18))*12+MONTH(Pengaturan!$C$14)-MONTH(F18))/12)))</f>
        <v/>
      </c>
      <c r="M18" s="41" t="str">
        <f aca="false">IF(D18="","",I18-L18)</f>
        <v/>
      </c>
      <c r="N18" s="33"/>
      <c r="O18" s="34"/>
    </row>
    <row r="19" customFormat="false" ht="15" hidden="false" customHeight="false" outlineLevel="0" collapsed="false">
      <c r="B19" s="31" t="str">
        <f aca="false">IF(D19="","",ROW()-5)</f>
        <v/>
      </c>
      <c r="C19" s="33"/>
      <c r="D19" s="34"/>
      <c r="E19" s="34"/>
      <c r="F19" s="32"/>
      <c r="G19" s="65"/>
      <c r="H19" s="35"/>
      <c r="I19" s="36" t="str">
        <f aca="false">IF(D19="","",N(G19)*N(H19))</f>
        <v/>
      </c>
      <c r="J19" s="66"/>
      <c r="K19" s="36" t="str">
        <f aca="false">IF(D19="","",IF(N(J19)&gt;0,I19/J19,0))</f>
        <v/>
      </c>
      <c r="L19" s="36" t="str">
        <f aca="false">IF(D19="","",IF(F19="",0,MIN(I19,K19*MAX(0,(YEAR(Pengaturan!$C$14)-YEAR(F19))*12+MONTH(Pengaturan!$C$14)-MONTH(F19))/12)))</f>
        <v/>
      </c>
      <c r="M19" s="41" t="str">
        <f aca="false">IF(D19="","",I19-L19)</f>
        <v/>
      </c>
      <c r="N19" s="33"/>
      <c r="O19" s="34"/>
    </row>
    <row r="20" customFormat="false" ht="15" hidden="false" customHeight="false" outlineLevel="0" collapsed="false">
      <c r="B20" s="31" t="str">
        <f aca="false">IF(D20="","",ROW()-5)</f>
        <v/>
      </c>
      <c r="C20" s="33"/>
      <c r="D20" s="34"/>
      <c r="E20" s="34"/>
      <c r="F20" s="32"/>
      <c r="G20" s="65"/>
      <c r="H20" s="35"/>
      <c r="I20" s="36" t="str">
        <f aca="false">IF(D20="","",N(G20)*N(H20))</f>
        <v/>
      </c>
      <c r="J20" s="66"/>
      <c r="K20" s="36" t="str">
        <f aca="false">IF(D20="","",IF(N(J20)&gt;0,I20/J20,0))</f>
        <v/>
      </c>
      <c r="L20" s="36" t="str">
        <f aca="false">IF(D20="","",IF(F20="",0,MIN(I20,K20*MAX(0,(YEAR(Pengaturan!$C$14)-YEAR(F20))*12+MONTH(Pengaturan!$C$14)-MONTH(F20))/12)))</f>
        <v/>
      </c>
      <c r="M20" s="41" t="str">
        <f aca="false">IF(D20="","",I20-L20)</f>
        <v/>
      </c>
      <c r="N20" s="33"/>
      <c r="O20" s="34"/>
    </row>
    <row r="21" customFormat="false" ht="15" hidden="false" customHeight="false" outlineLevel="0" collapsed="false">
      <c r="B21" s="31" t="str">
        <f aca="false">IF(D21="","",ROW()-5)</f>
        <v/>
      </c>
      <c r="C21" s="33"/>
      <c r="D21" s="34"/>
      <c r="E21" s="34"/>
      <c r="F21" s="32"/>
      <c r="G21" s="65"/>
      <c r="H21" s="35"/>
      <c r="I21" s="36" t="str">
        <f aca="false">IF(D21="","",N(G21)*N(H21))</f>
        <v/>
      </c>
      <c r="J21" s="66"/>
      <c r="K21" s="36" t="str">
        <f aca="false">IF(D21="","",IF(N(J21)&gt;0,I21/J21,0))</f>
        <v/>
      </c>
      <c r="L21" s="36" t="str">
        <f aca="false">IF(D21="","",IF(F21="",0,MIN(I21,K21*MAX(0,(YEAR(Pengaturan!$C$14)-YEAR(F21))*12+MONTH(Pengaturan!$C$14)-MONTH(F21))/12)))</f>
        <v/>
      </c>
      <c r="M21" s="41" t="str">
        <f aca="false">IF(D21="","",I21-L21)</f>
        <v/>
      </c>
      <c r="N21" s="33"/>
      <c r="O21" s="34"/>
    </row>
    <row r="22" customFormat="false" ht="15" hidden="false" customHeight="false" outlineLevel="0" collapsed="false">
      <c r="B22" s="31" t="str">
        <f aca="false">IF(D22="","",ROW()-5)</f>
        <v/>
      </c>
      <c r="C22" s="33"/>
      <c r="D22" s="34"/>
      <c r="E22" s="34"/>
      <c r="F22" s="32"/>
      <c r="G22" s="65"/>
      <c r="H22" s="35"/>
      <c r="I22" s="36" t="str">
        <f aca="false">IF(D22="","",N(G22)*N(H22))</f>
        <v/>
      </c>
      <c r="J22" s="66"/>
      <c r="K22" s="36" t="str">
        <f aca="false">IF(D22="","",IF(N(J22)&gt;0,I22/J22,0))</f>
        <v/>
      </c>
      <c r="L22" s="36" t="str">
        <f aca="false">IF(D22="","",IF(F22="",0,MIN(I22,K22*MAX(0,(YEAR(Pengaturan!$C$14)-YEAR(F22))*12+MONTH(Pengaturan!$C$14)-MONTH(F22))/12)))</f>
        <v/>
      </c>
      <c r="M22" s="41" t="str">
        <f aca="false">IF(D22="","",I22-L22)</f>
        <v/>
      </c>
      <c r="N22" s="33"/>
      <c r="O22" s="34"/>
    </row>
    <row r="23" customFormat="false" ht="15" hidden="false" customHeight="false" outlineLevel="0" collapsed="false">
      <c r="B23" s="31" t="str">
        <f aca="false">IF(D23="","",ROW()-5)</f>
        <v/>
      </c>
      <c r="C23" s="33"/>
      <c r="D23" s="34"/>
      <c r="E23" s="34"/>
      <c r="F23" s="32"/>
      <c r="G23" s="65"/>
      <c r="H23" s="35"/>
      <c r="I23" s="36" t="str">
        <f aca="false">IF(D23="","",N(G23)*N(H23))</f>
        <v/>
      </c>
      <c r="J23" s="66"/>
      <c r="K23" s="36" t="str">
        <f aca="false">IF(D23="","",IF(N(J23)&gt;0,I23/J23,0))</f>
        <v/>
      </c>
      <c r="L23" s="36" t="str">
        <f aca="false">IF(D23="","",IF(F23="",0,MIN(I23,K23*MAX(0,(YEAR(Pengaturan!$C$14)-YEAR(F23))*12+MONTH(Pengaturan!$C$14)-MONTH(F23))/12)))</f>
        <v/>
      </c>
      <c r="M23" s="41" t="str">
        <f aca="false">IF(D23="","",I23-L23)</f>
        <v/>
      </c>
      <c r="N23" s="33"/>
      <c r="O23" s="34"/>
    </row>
    <row r="24" customFormat="false" ht="15" hidden="false" customHeight="false" outlineLevel="0" collapsed="false">
      <c r="B24" s="31" t="str">
        <f aca="false">IF(D24="","",ROW()-5)</f>
        <v/>
      </c>
      <c r="C24" s="33"/>
      <c r="D24" s="34"/>
      <c r="E24" s="34"/>
      <c r="F24" s="32"/>
      <c r="G24" s="65"/>
      <c r="H24" s="35"/>
      <c r="I24" s="36" t="str">
        <f aca="false">IF(D24="","",N(G24)*N(H24))</f>
        <v/>
      </c>
      <c r="J24" s="66"/>
      <c r="K24" s="36" t="str">
        <f aca="false">IF(D24="","",IF(N(J24)&gt;0,I24/J24,0))</f>
        <v/>
      </c>
      <c r="L24" s="36" t="str">
        <f aca="false">IF(D24="","",IF(F24="",0,MIN(I24,K24*MAX(0,(YEAR(Pengaturan!$C$14)-YEAR(F24))*12+MONTH(Pengaturan!$C$14)-MONTH(F24))/12)))</f>
        <v/>
      </c>
      <c r="M24" s="41" t="str">
        <f aca="false">IF(D24="","",I24-L24)</f>
        <v/>
      </c>
      <c r="N24" s="33"/>
      <c r="O24" s="34"/>
    </row>
    <row r="25" customFormat="false" ht="15" hidden="false" customHeight="false" outlineLevel="0" collapsed="false">
      <c r="B25" s="31" t="str">
        <f aca="false">IF(D25="","",ROW()-5)</f>
        <v/>
      </c>
      <c r="C25" s="33"/>
      <c r="D25" s="34"/>
      <c r="E25" s="34"/>
      <c r="F25" s="32"/>
      <c r="G25" s="65"/>
      <c r="H25" s="35"/>
      <c r="I25" s="36" t="str">
        <f aca="false">IF(D25="","",N(G25)*N(H25))</f>
        <v/>
      </c>
      <c r="J25" s="66"/>
      <c r="K25" s="36" t="str">
        <f aca="false">IF(D25="","",IF(N(J25)&gt;0,I25/J25,0))</f>
        <v/>
      </c>
      <c r="L25" s="36" t="str">
        <f aca="false">IF(D25="","",IF(F25="",0,MIN(I25,K25*MAX(0,(YEAR(Pengaturan!$C$14)-YEAR(F25))*12+MONTH(Pengaturan!$C$14)-MONTH(F25))/12)))</f>
        <v/>
      </c>
      <c r="M25" s="41" t="str">
        <f aca="false">IF(D25="","",I25-L25)</f>
        <v/>
      </c>
      <c r="N25" s="33"/>
      <c r="O25" s="34"/>
    </row>
    <row r="26" customFormat="false" ht="15" hidden="false" customHeight="false" outlineLevel="0" collapsed="false">
      <c r="B26" s="31" t="str">
        <f aca="false">IF(D26="","",ROW()-5)</f>
        <v/>
      </c>
      <c r="C26" s="33"/>
      <c r="D26" s="34"/>
      <c r="E26" s="34"/>
      <c r="F26" s="32"/>
      <c r="G26" s="65"/>
      <c r="H26" s="35"/>
      <c r="I26" s="36" t="str">
        <f aca="false">IF(D26="","",N(G26)*N(H26))</f>
        <v/>
      </c>
      <c r="J26" s="66"/>
      <c r="K26" s="36" t="str">
        <f aca="false">IF(D26="","",IF(N(J26)&gt;0,I26/J26,0))</f>
        <v/>
      </c>
      <c r="L26" s="36" t="str">
        <f aca="false">IF(D26="","",IF(F26="",0,MIN(I26,K26*MAX(0,(YEAR(Pengaturan!$C$14)-YEAR(F26))*12+MONTH(Pengaturan!$C$14)-MONTH(F26))/12)))</f>
        <v/>
      </c>
      <c r="M26" s="41" t="str">
        <f aca="false">IF(D26="","",I26-L26)</f>
        <v/>
      </c>
      <c r="N26" s="33"/>
      <c r="O26" s="34"/>
    </row>
    <row r="27" customFormat="false" ht="15" hidden="false" customHeight="false" outlineLevel="0" collapsed="false">
      <c r="B27" s="31" t="str">
        <f aca="false">IF(D27="","",ROW()-5)</f>
        <v/>
      </c>
      <c r="C27" s="33"/>
      <c r="D27" s="34"/>
      <c r="E27" s="34"/>
      <c r="F27" s="32"/>
      <c r="G27" s="65"/>
      <c r="H27" s="35"/>
      <c r="I27" s="36" t="str">
        <f aca="false">IF(D27="","",N(G27)*N(H27))</f>
        <v/>
      </c>
      <c r="J27" s="66"/>
      <c r="K27" s="36" t="str">
        <f aca="false">IF(D27="","",IF(N(J27)&gt;0,I27/J27,0))</f>
        <v/>
      </c>
      <c r="L27" s="36" t="str">
        <f aca="false">IF(D27="","",IF(F27="",0,MIN(I27,K27*MAX(0,(YEAR(Pengaturan!$C$14)-YEAR(F27))*12+MONTH(Pengaturan!$C$14)-MONTH(F27))/12)))</f>
        <v/>
      </c>
      <c r="M27" s="41" t="str">
        <f aca="false">IF(D27="","",I27-L27)</f>
        <v/>
      </c>
      <c r="N27" s="33"/>
      <c r="O27" s="34"/>
    </row>
    <row r="28" customFormat="false" ht="15" hidden="false" customHeight="false" outlineLevel="0" collapsed="false">
      <c r="B28" s="31" t="str">
        <f aca="false">IF(D28="","",ROW()-5)</f>
        <v/>
      </c>
      <c r="C28" s="33"/>
      <c r="D28" s="34"/>
      <c r="E28" s="34"/>
      <c r="F28" s="32"/>
      <c r="G28" s="65"/>
      <c r="H28" s="35"/>
      <c r="I28" s="36" t="str">
        <f aca="false">IF(D28="","",N(G28)*N(H28))</f>
        <v/>
      </c>
      <c r="J28" s="66"/>
      <c r="K28" s="36" t="str">
        <f aca="false">IF(D28="","",IF(N(J28)&gt;0,I28/J28,0))</f>
        <v/>
      </c>
      <c r="L28" s="36" t="str">
        <f aca="false">IF(D28="","",IF(F28="",0,MIN(I28,K28*MAX(0,(YEAR(Pengaturan!$C$14)-YEAR(F28))*12+MONTH(Pengaturan!$C$14)-MONTH(F28))/12)))</f>
        <v/>
      </c>
      <c r="M28" s="41" t="str">
        <f aca="false">IF(D28="","",I28-L28)</f>
        <v/>
      </c>
      <c r="N28" s="33"/>
      <c r="O28" s="34"/>
    </row>
    <row r="29" customFormat="false" ht="15" hidden="false" customHeight="false" outlineLevel="0" collapsed="false">
      <c r="B29" s="31" t="str">
        <f aca="false">IF(D29="","",ROW()-5)</f>
        <v/>
      </c>
      <c r="C29" s="33"/>
      <c r="D29" s="34"/>
      <c r="E29" s="34"/>
      <c r="F29" s="32"/>
      <c r="G29" s="65"/>
      <c r="H29" s="35"/>
      <c r="I29" s="36" t="str">
        <f aca="false">IF(D29="","",N(G29)*N(H29))</f>
        <v/>
      </c>
      <c r="J29" s="66"/>
      <c r="K29" s="36" t="str">
        <f aca="false">IF(D29="","",IF(N(J29)&gt;0,I29/J29,0))</f>
        <v/>
      </c>
      <c r="L29" s="36" t="str">
        <f aca="false">IF(D29="","",IF(F29="",0,MIN(I29,K29*MAX(0,(YEAR(Pengaturan!$C$14)-YEAR(F29))*12+MONTH(Pengaturan!$C$14)-MONTH(F29))/12)))</f>
        <v/>
      </c>
      <c r="M29" s="41" t="str">
        <f aca="false">IF(D29="","",I29-L29)</f>
        <v/>
      </c>
      <c r="N29" s="33"/>
      <c r="O29" s="34"/>
    </row>
    <row r="30" customFormat="false" ht="15" hidden="false" customHeight="false" outlineLevel="0" collapsed="false">
      <c r="B30" s="31" t="str">
        <f aca="false">IF(D30="","",ROW()-5)</f>
        <v/>
      </c>
      <c r="C30" s="33"/>
      <c r="D30" s="34"/>
      <c r="E30" s="34"/>
      <c r="F30" s="32"/>
      <c r="G30" s="65"/>
      <c r="H30" s="35"/>
      <c r="I30" s="36" t="str">
        <f aca="false">IF(D30="","",N(G30)*N(H30))</f>
        <v/>
      </c>
      <c r="J30" s="66"/>
      <c r="K30" s="36" t="str">
        <f aca="false">IF(D30="","",IF(N(J30)&gt;0,I30/J30,0))</f>
        <v/>
      </c>
      <c r="L30" s="36" t="str">
        <f aca="false">IF(D30="","",IF(F30="",0,MIN(I30,K30*MAX(0,(YEAR(Pengaturan!$C$14)-YEAR(F30))*12+MONTH(Pengaturan!$C$14)-MONTH(F30))/12)))</f>
        <v/>
      </c>
      <c r="M30" s="41" t="str">
        <f aca="false">IF(D30="","",I30-L30)</f>
        <v/>
      </c>
      <c r="N30" s="33"/>
      <c r="O30" s="34"/>
    </row>
    <row r="31" customFormat="false" ht="15" hidden="false" customHeight="false" outlineLevel="0" collapsed="false">
      <c r="B31" s="31" t="str">
        <f aca="false">IF(D31="","",ROW()-5)</f>
        <v/>
      </c>
      <c r="C31" s="33"/>
      <c r="D31" s="34"/>
      <c r="E31" s="34"/>
      <c r="F31" s="32"/>
      <c r="G31" s="65"/>
      <c r="H31" s="35"/>
      <c r="I31" s="36" t="str">
        <f aca="false">IF(D31="","",N(G31)*N(H31))</f>
        <v/>
      </c>
      <c r="J31" s="66"/>
      <c r="K31" s="36" t="str">
        <f aca="false">IF(D31="","",IF(N(J31)&gt;0,I31/J31,0))</f>
        <v/>
      </c>
      <c r="L31" s="36" t="str">
        <f aca="false">IF(D31="","",IF(F31="",0,MIN(I31,K31*MAX(0,(YEAR(Pengaturan!$C$14)-YEAR(F31))*12+MONTH(Pengaturan!$C$14)-MONTH(F31))/12)))</f>
        <v/>
      </c>
      <c r="M31" s="41" t="str">
        <f aca="false">IF(D31="","",I31-L31)</f>
        <v/>
      </c>
      <c r="N31" s="33"/>
      <c r="O31" s="34"/>
    </row>
    <row r="32" customFormat="false" ht="15" hidden="false" customHeight="false" outlineLevel="0" collapsed="false">
      <c r="B32" s="31" t="str">
        <f aca="false">IF(D32="","",ROW()-5)</f>
        <v/>
      </c>
      <c r="C32" s="33"/>
      <c r="D32" s="34"/>
      <c r="E32" s="34"/>
      <c r="F32" s="32"/>
      <c r="G32" s="65"/>
      <c r="H32" s="35"/>
      <c r="I32" s="36" t="str">
        <f aca="false">IF(D32="","",N(G32)*N(H32))</f>
        <v/>
      </c>
      <c r="J32" s="66"/>
      <c r="K32" s="36" t="str">
        <f aca="false">IF(D32="","",IF(N(J32)&gt;0,I32/J32,0))</f>
        <v/>
      </c>
      <c r="L32" s="36" t="str">
        <f aca="false">IF(D32="","",IF(F32="",0,MIN(I32,K32*MAX(0,(YEAR(Pengaturan!$C$14)-YEAR(F32))*12+MONTH(Pengaturan!$C$14)-MONTH(F32))/12)))</f>
        <v/>
      </c>
      <c r="M32" s="41" t="str">
        <f aca="false">IF(D32="","",I32-L32)</f>
        <v/>
      </c>
      <c r="N32" s="33"/>
      <c r="O32" s="34"/>
    </row>
    <row r="33" customFormat="false" ht="15" hidden="false" customHeight="false" outlineLevel="0" collapsed="false">
      <c r="B33" s="31" t="str">
        <f aca="false">IF(D33="","",ROW()-5)</f>
        <v/>
      </c>
      <c r="C33" s="33"/>
      <c r="D33" s="34"/>
      <c r="E33" s="34"/>
      <c r="F33" s="32"/>
      <c r="G33" s="65"/>
      <c r="H33" s="35"/>
      <c r="I33" s="36" t="str">
        <f aca="false">IF(D33="","",N(G33)*N(H33))</f>
        <v/>
      </c>
      <c r="J33" s="66"/>
      <c r="K33" s="36" t="str">
        <f aca="false">IF(D33="","",IF(N(J33)&gt;0,I33/J33,0))</f>
        <v/>
      </c>
      <c r="L33" s="36" t="str">
        <f aca="false">IF(D33="","",IF(F33="",0,MIN(I33,K33*MAX(0,(YEAR(Pengaturan!$C$14)-YEAR(F33))*12+MONTH(Pengaturan!$C$14)-MONTH(F33))/12)))</f>
        <v/>
      </c>
      <c r="M33" s="41" t="str">
        <f aca="false">IF(D33="","",I33-L33)</f>
        <v/>
      </c>
      <c r="N33" s="33"/>
      <c r="O33" s="34"/>
    </row>
    <row r="34" customFormat="false" ht="15" hidden="false" customHeight="false" outlineLevel="0" collapsed="false">
      <c r="B34" s="31" t="str">
        <f aca="false">IF(D34="","",ROW()-5)</f>
        <v/>
      </c>
      <c r="C34" s="33"/>
      <c r="D34" s="34"/>
      <c r="E34" s="34"/>
      <c r="F34" s="32"/>
      <c r="G34" s="65"/>
      <c r="H34" s="35"/>
      <c r="I34" s="36" t="str">
        <f aca="false">IF(D34="","",N(G34)*N(H34))</f>
        <v/>
      </c>
      <c r="J34" s="66"/>
      <c r="K34" s="36" t="str">
        <f aca="false">IF(D34="","",IF(N(J34)&gt;0,I34/J34,0))</f>
        <v/>
      </c>
      <c r="L34" s="36" t="str">
        <f aca="false">IF(D34="","",IF(F34="",0,MIN(I34,K34*MAX(0,(YEAR(Pengaturan!$C$14)-YEAR(F34))*12+MONTH(Pengaturan!$C$14)-MONTH(F34))/12)))</f>
        <v/>
      </c>
      <c r="M34" s="41" t="str">
        <f aca="false">IF(D34="","",I34-L34)</f>
        <v/>
      </c>
      <c r="N34" s="33"/>
      <c r="O34" s="34"/>
    </row>
    <row r="35" customFormat="false" ht="15" hidden="false" customHeight="false" outlineLevel="0" collapsed="false">
      <c r="B35" s="31" t="str">
        <f aca="false">IF(D35="","",ROW()-5)</f>
        <v/>
      </c>
      <c r="C35" s="33"/>
      <c r="D35" s="34"/>
      <c r="E35" s="34"/>
      <c r="F35" s="32"/>
      <c r="G35" s="65"/>
      <c r="H35" s="35"/>
      <c r="I35" s="36" t="str">
        <f aca="false">IF(D35="","",N(G35)*N(H35))</f>
        <v/>
      </c>
      <c r="J35" s="66"/>
      <c r="K35" s="36" t="str">
        <f aca="false">IF(D35="","",IF(N(J35)&gt;0,I35/J35,0))</f>
        <v/>
      </c>
      <c r="L35" s="36" t="str">
        <f aca="false">IF(D35="","",IF(F35="",0,MIN(I35,K35*MAX(0,(YEAR(Pengaturan!$C$14)-YEAR(F35))*12+MONTH(Pengaturan!$C$14)-MONTH(F35))/12)))</f>
        <v/>
      </c>
      <c r="M35" s="41" t="str">
        <f aca="false">IF(D35="","",I35-L35)</f>
        <v/>
      </c>
      <c r="N35" s="33"/>
      <c r="O35" s="34"/>
    </row>
    <row r="36" customFormat="false" ht="15" hidden="false" customHeight="true" outlineLevel="0" collapsed="false">
      <c r="B36" s="45" t="s">
        <v>243</v>
      </c>
      <c r="C36" s="45"/>
      <c r="D36" s="45"/>
      <c r="E36" s="45"/>
      <c r="F36" s="45"/>
      <c r="G36" s="45"/>
      <c r="H36" s="45"/>
      <c r="I36" s="46" t="n">
        <f aca="false">SUM(I6:I35)</f>
        <v>18450000</v>
      </c>
      <c r="J36" s="49"/>
      <c r="K36" s="46" t="n">
        <f aca="false">SUM(K6:K35)</f>
        <v>4375000</v>
      </c>
      <c r="L36" s="46" t="n">
        <f aca="false">SUM(L6:L35)</f>
        <v>5033333.33333333</v>
      </c>
      <c r="M36" s="46" t="n">
        <f aca="false">SUM(M6:M35)</f>
        <v>13416666.6666667</v>
      </c>
      <c r="N36" s="49"/>
      <c r="O36" s="49"/>
    </row>
    <row r="38" customFormat="false" ht="15" hidden="false" customHeight="false" outlineLevel="0" collapsed="false">
      <c r="B38" s="26" t="s">
        <v>244</v>
      </c>
    </row>
  </sheetData>
  <mergeCells count="3">
    <mergeCell ref="B1:O1"/>
    <mergeCell ref="B2:O2"/>
    <mergeCell ref="B36:H36"/>
  </mergeCells>
  <conditionalFormatting sqref="N6:N35">
    <cfRule type="cellIs" priority="2" operator="equal" aboveAverage="0" equalAverage="0" bottom="0" percent="0" rank="0" text="" dxfId="14">
      <formula>"Rusak"</formula>
    </cfRule>
  </conditionalFormatting>
  <dataValidations count="1">
    <dataValidation allowBlank="true" errorStyle="stop" operator="between" showDropDown="false" showErrorMessage="false" showInputMessage="false" sqref="N6:N35" type="list">
      <formula1>DaftarKondisi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1A"/>
    <pageSetUpPr fitToPage="tru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5" min="3" style="0" width="19"/>
    <col collapsed="false" customWidth="true" hidden="false" outlineLevel="0" max="7" min="6" style="0" width="12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</row>
    <row r="2" customFormat="false" ht="19.5" hidden="false" customHeight="true" outlineLevel="0" collapsed="false">
      <c r="A2" s="1"/>
      <c r="B2" s="3" t="str">
        <f aca="false">"LAPORAN KEUANGAN  •  Tahun Buku "&amp;Pengaturan!$C$6&amp;"  •  "&amp;Pengaturan!$C$5</f>
        <v>LAPORAN KEUANGAN  •  Tahun Buku 2026  •  HAPIA Jember</v>
      </c>
      <c r="C2" s="3"/>
      <c r="D2" s="3"/>
      <c r="E2" s="3"/>
      <c r="F2" s="3"/>
      <c r="G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  <c r="G3" s="4"/>
    </row>
    <row r="5" customFormat="false" ht="15" hidden="false" customHeight="false" outlineLevel="0" collapsed="false">
      <c r="B5" s="10" t="s">
        <v>245</v>
      </c>
    </row>
    <row r="6" customFormat="false" ht="25.5" hidden="false" customHeight="true" outlineLevel="0" collapsed="false">
      <c r="B6" s="30" t="s">
        <v>14</v>
      </c>
      <c r="C6" s="30" t="str">
        <f aca="false">Pengaturan!$F$19</f>
        <v>Kas Tunai</v>
      </c>
      <c r="D6" s="30" t="str">
        <f aca="false">Pengaturan!$F$20</f>
        <v>Bank</v>
      </c>
      <c r="E6" s="30" t="s">
        <v>246</v>
      </c>
    </row>
    <row r="7" customFormat="false" ht="15" hidden="false" customHeight="false" outlineLevel="0" collapsed="false">
      <c r="B7" s="43" t="s">
        <v>247</v>
      </c>
      <c r="C7" s="36" t="n">
        <f aca="false">Pengaturan!$C$10</f>
        <v>10000000</v>
      </c>
      <c r="D7" s="36" t="n">
        <f aca="false">Pengaturan!$C$11</f>
        <v>20000000</v>
      </c>
      <c r="E7" s="41" t="n">
        <f aca="false">C7+D7</f>
        <v>30000000</v>
      </c>
    </row>
    <row r="8" customFormat="false" ht="15" hidden="false" customHeight="false" outlineLevel="0" collapsed="false">
      <c r="B8" s="43" t="s">
        <v>248</v>
      </c>
      <c r="C8" s="36" t="n">
        <f aca="false">SUMIFS(Transaksi!$J$6:$J$505,Transaksi!$G$6:$G$505,Pengaturan!$F$19)</f>
        <v>4700000</v>
      </c>
      <c r="D8" s="36" t="n">
        <f aca="false">SUMIFS(Transaksi!$J$6:$J$505,Transaksi!$G$6:$G$505,Pengaturan!$F$20)</f>
        <v>16143000</v>
      </c>
      <c r="E8" s="41" t="n">
        <f aca="false">C8+D8</f>
        <v>20843000</v>
      </c>
    </row>
    <row r="9" customFormat="false" ht="15" hidden="false" customHeight="false" outlineLevel="0" collapsed="false">
      <c r="B9" s="43" t="s">
        <v>249</v>
      </c>
      <c r="C9" s="36" t="n">
        <f aca="false">SUMIFS(Transaksi!$K$6:$K$505,Transaksi!$G$6:$G$505,Pengaturan!$F$19)</f>
        <v>10580000</v>
      </c>
      <c r="D9" s="36" t="n">
        <f aca="false">SUMIFS(Transaksi!$K$6:$K$505,Transaksi!$G$6:$G$505,Pengaturan!$F$20)</f>
        <v>19950000</v>
      </c>
      <c r="E9" s="41" t="n">
        <f aca="false">C9+D9</f>
        <v>30530000</v>
      </c>
    </row>
    <row r="10" customFormat="false" ht="15" hidden="false" customHeight="false" outlineLevel="0" collapsed="false">
      <c r="B10" s="67" t="s">
        <v>250</v>
      </c>
      <c r="C10" s="46" t="n">
        <f aca="false">C7+C8-C9</f>
        <v>4120000</v>
      </c>
      <c r="D10" s="46" t="n">
        <f aca="false">D7+D8-D9</f>
        <v>16193000</v>
      </c>
      <c r="E10" s="46" t="n">
        <f aca="false">E7+E8-E9</f>
        <v>20313000</v>
      </c>
    </row>
    <row r="11" customFormat="false" ht="15" hidden="false" customHeight="false" outlineLevel="0" collapsed="false">
      <c r="B11" s="68" t="s">
        <v>251</v>
      </c>
      <c r="E11" s="69" t="str">
        <f aca="false">IF(ROUND(E10-(Pengaturan!$C$10+Pengaturan!$C$11+SUM(Transaksi!$J$6:$J$505)-SUM(Transaksi!$K$6:$K$505)),0)=0,"✔ Seimbang","⚠ Cek data")</f>
        <v>✔ Seimbang</v>
      </c>
    </row>
    <row r="13" customFormat="false" ht="15" hidden="false" customHeight="false" outlineLevel="0" collapsed="false">
      <c r="B13" s="10" t="s">
        <v>252</v>
      </c>
    </row>
    <row r="14" customFormat="false" ht="25.5" hidden="false" customHeight="true" outlineLevel="0" collapsed="false">
      <c r="B14" s="30" t="s">
        <v>29</v>
      </c>
      <c r="C14" s="30" t="s">
        <v>16</v>
      </c>
      <c r="D14" s="30" t="s">
        <v>253</v>
      </c>
    </row>
    <row r="15" customFormat="false" ht="15" hidden="false" customHeight="false" outlineLevel="0" collapsed="false">
      <c r="B15" s="40" t="str">
        <f aca="false">Anggaran!C6</f>
        <v>Donasi</v>
      </c>
      <c r="C15" s="36" t="n">
        <f aca="false">IF(B15="","",Anggaran!E6)</f>
        <v>3500000</v>
      </c>
      <c r="D15" s="44" t="n">
        <f aca="false">IF(B15="","",IF($C$23=0,0,C15/$C$23))</f>
        <v>0.167922084152953</v>
      </c>
    </row>
    <row r="16" customFormat="false" ht="15" hidden="false" customHeight="false" outlineLevel="0" collapsed="false">
      <c r="B16" s="40" t="str">
        <f aca="false">Anggaran!C7</f>
        <v>Sponsor</v>
      </c>
      <c r="C16" s="36" t="n">
        <f aca="false">IF(B16="","",Anggaran!E7)</f>
        <v>5000000</v>
      </c>
      <c r="D16" s="44" t="n">
        <f aca="false">IF(B16="","",IF($C$23=0,0,C16/$C$23))</f>
        <v>0.239888691647076</v>
      </c>
    </row>
    <row r="17" customFormat="false" ht="15" hidden="false" customHeight="false" outlineLevel="0" collapsed="false">
      <c r="B17" s="40" t="str">
        <f aca="false">Anggaran!C8</f>
        <v>Pendaftaran / Tiket Event</v>
      </c>
      <c r="C17" s="36" t="n">
        <f aca="false">IF(B17="","",Anggaran!E8)</f>
        <v>5000000</v>
      </c>
      <c r="D17" s="44" t="n">
        <f aca="false">IF(B17="","",IF($C$23=0,0,C17/$C$23))</f>
        <v>0.239888691647076</v>
      </c>
    </row>
    <row r="18" customFormat="false" ht="15" hidden="false" customHeight="false" outlineLevel="0" collapsed="false">
      <c r="B18" s="40" t="str">
        <f aca="false">Anggaran!C9</f>
        <v>Hasil Usaha / Bazar</v>
      </c>
      <c r="C18" s="36" t="n">
        <f aca="false">IF(B18="","",Anggaran!E9)</f>
        <v>3200000</v>
      </c>
      <c r="D18" s="44" t="n">
        <f aca="false">IF(B18="","",IF($C$23=0,0,C18/$C$23))</f>
        <v>0.153528762654129</v>
      </c>
    </row>
    <row r="19" customFormat="false" ht="15" hidden="false" customHeight="false" outlineLevel="0" collapsed="false">
      <c r="B19" s="40" t="str">
        <f aca="false">Anggaran!C10</f>
        <v>Hibah / Bantuan</v>
      </c>
      <c r="C19" s="36" t="n">
        <f aca="false">IF(B19="","",Anggaran!E10)</f>
        <v>4000000</v>
      </c>
      <c r="D19" s="44" t="n">
        <f aca="false">IF(B19="","",IF($C$23=0,0,C19/$C$23))</f>
        <v>0.191910953317661</v>
      </c>
    </row>
    <row r="20" customFormat="false" ht="15" hidden="false" customHeight="false" outlineLevel="0" collapsed="false">
      <c r="B20" s="40" t="str">
        <f aca="false">Anggaran!C11</f>
        <v>Bunga Bank</v>
      </c>
      <c r="C20" s="36" t="n">
        <f aca="false">IF(B20="","",Anggaran!E11)</f>
        <v>143000</v>
      </c>
      <c r="D20" s="44" t="n">
        <f aca="false">IF(B20="","",IF($C$23=0,0,C20/$C$23))</f>
        <v>0.00686081658110637</v>
      </c>
    </row>
    <row r="21" customFormat="false" ht="15" hidden="false" customHeight="false" outlineLevel="0" collapsed="false">
      <c r="B21" s="40" t="str">
        <f aca="false">Anggaran!C12</f>
        <v>Pemasukan Lain-lain</v>
      </c>
      <c r="C21" s="36" t="n">
        <f aca="false">IF(B21="","",Anggaran!E12)</f>
        <v>0</v>
      </c>
      <c r="D21" s="44" t="n">
        <f aca="false">IF(B21="","",IF($C$23=0,0,C21/$C$23))</f>
        <v>0</v>
      </c>
    </row>
    <row r="22" customFormat="false" ht="15" hidden="false" customHeight="false" outlineLevel="0" collapsed="false">
      <c r="B22" s="40" t="str">
        <f aca="false">Anggaran!C13</f>
        <v/>
      </c>
      <c r="C22" s="36" t="str">
        <f aca="false">IF(B22="","",Anggaran!E13)</f>
        <v/>
      </c>
      <c r="D22" s="44" t="str">
        <f aca="false">IF(B22="","",IF($C$23=0,0,C22/$C$23))</f>
        <v/>
      </c>
    </row>
    <row r="23" customFormat="false" ht="15" hidden="false" customHeight="false" outlineLevel="0" collapsed="false">
      <c r="B23" s="67" t="s">
        <v>2</v>
      </c>
      <c r="C23" s="46" t="n">
        <f aca="false">SUM(C15:C22)</f>
        <v>20843000</v>
      </c>
      <c r="D23" s="47" t="n">
        <f aca="false">IF(C23=0,0,1)</f>
        <v>1</v>
      </c>
    </row>
    <row r="25" customFormat="false" ht="15" hidden="false" customHeight="false" outlineLevel="0" collapsed="false">
      <c r="B25" s="10" t="s">
        <v>254</v>
      </c>
    </row>
    <row r="26" customFormat="false" ht="25.5" hidden="false" customHeight="true" outlineLevel="0" collapsed="false">
      <c r="B26" s="30" t="s">
        <v>29</v>
      </c>
      <c r="C26" s="30" t="s">
        <v>16</v>
      </c>
      <c r="D26" s="30" t="s">
        <v>253</v>
      </c>
    </row>
    <row r="27" customFormat="false" ht="15" hidden="false" customHeight="false" outlineLevel="0" collapsed="false">
      <c r="B27" s="40" t="str">
        <f aca="false">Anggaran!C19</f>
        <v>Kegiatan / Program</v>
      </c>
      <c r="C27" s="36" t="n">
        <f aca="false">IF(B27="","",Anggaran!E19)</f>
        <v>10600000</v>
      </c>
      <c r="D27" s="44" t="n">
        <f aca="false">IF(B27="","",IF($C$39=0,0,C27/$C$39))</f>
        <v>0.347199475925319</v>
      </c>
    </row>
    <row r="28" customFormat="false" ht="15" hidden="false" customHeight="false" outlineLevel="0" collapsed="false">
      <c r="B28" s="40" t="str">
        <f aca="false">Anggaran!C20</f>
        <v>Konsumsi</v>
      </c>
      <c r="C28" s="36" t="n">
        <f aca="false">IF(B28="","",Anggaran!E20)</f>
        <v>2300000</v>
      </c>
      <c r="D28" s="44" t="n">
        <f aca="false">IF(B28="","",IF($C$39=0,0,C28/$C$39))</f>
        <v>0.0753357353422863</v>
      </c>
    </row>
    <row r="29" customFormat="false" ht="15" hidden="false" customHeight="false" outlineLevel="0" collapsed="false">
      <c r="B29" s="40" t="str">
        <f aca="false">Anggaran!C21</f>
        <v>Transportasi</v>
      </c>
      <c r="C29" s="36" t="n">
        <f aca="false">IF(B29="","",Anggaran!E21)</f>
        <v>600000</v>
      </c>
      <c r="D29" s="44" t="n">
        <f aca="false">IF(B29="","",IF($C$39=0,0,C29/$C$39))</f>
        <v>0.0196528005240747</v>
      </c>
    </row>
    <row r="30" customFormat="false" ht="15" hidden="false" customHeight="false" outlineLevel="0" collapsed="false">
      <c r="B30" s="40" t="str">
        <f aca="false">Anggaran!C22</f>
        <v>ATK &amp; Percetakan</v>
      </c>
      <c r="C30" s="36" t="n">
        <f aca="false">IF(B30="","",Anggaran!E22)</f>
        <v>630000</v>
      </c>
      <c r="D30" s="44" t="n">
        <f aca="false">IF(B30="","",IF($C$39=0,0,C30/$C$39))</f>
        <v>0.0206354405502784</v>
      </c>
    </row>
    <row r="31" customFormat="false" ht="15" hidden="false" customHeight="false" outlineLevel="0" collapsed="false">
      <c r="B31" s="40" t="str">
        <f aca="false">Anggaran!C23</f>
        <v>Sewa &amp; Utilitas</v>
      </c>
      <c r="C31" s="36" t="n">
        <f aca="false">IF(B31="","",Anggaran!E23)</f>
        <v>6000000</v>
      </c>
      <c r="D31" s="44" t="n">
        <f aca="false">IF(B31="","",IF($C$39=0,0,C31/$C$39))</f>
        <v>0.196528005240747</v>
      </c>
    </row>
    <row r="32" customFormat="false" ht="15" hidden="false" customHeight="false" outlineLevel="0" collapsed="false">
      <c r="B32" s="40" t="str">
        <f aca="false">Anggaran!C24</f>
        <v>Honor / Insentif</v>
      </c>
      <c r="C32" s="36" t="n">
        <f aca="false">IF(B32="","",Anggaran!E24)</f>
        <v>1000000</v>
      </c>
      <c r="D32" s="44" t="n">
        <f aca="false">IF(B32="","",IF($C$39=0,0,C32/$C$39))</f>
        <v>0.0327546675401245</v>
      </c>
    </row>
    <row r="33" customFormat="false" ht="15" hidden="false" customHeight="false" outlineLevel="0" collapsed="false">
      <c r="B33" s="40" t="str">
        <f aca="false">Anggaran!C25</f>
        <v>Sosial / Santunan</v>
      </c>
      <c r="C33" s="36" t="n">
        <f aca="false">IF(B33="","",Anggaran!E25)</f>
        <v>3000000</v>
      </c>
      <c r="D33" s="44" t="n">
        <f aca="false">IF(B33="","",IF($C$39=0,0,C33/$C$39))</f>
        <v>0.0982640026203734</v>
      </c>
    </row>
    <row r="34" customFormat="false" ht="15" hidden="false" customHeight="false" outlineLevel="0" collapsed="false">
      <c r="B34" s="40" t="str">
        <f aca="false">Anggaran!C26</f>
        <v>Perlengkapan / Aset</v>
      </c>
      <c r="C34" s="36" t="n">
        <f aca="false">IF(B34="","",Anggaran!E26)</f>
        <v>6250000</v>
      </c>
      <c r="D34" s="44" t="n">
        <f aca="false">IF(B34="","",IF($C$39=0,0,C34/$C$39))</f>
        <v>0.204716672125778</v>
      </c>
    </row>
    <row r="35" customFormat="false" ht="15" hidden="false" customHeight="false" outlineLevel="0" collapsed="false">
      <c r="B35" s="40" t="str">
        <f aca="false">Anggaran!C27</f>
        <v>Administrasi Bank</v>
      </c>
      <c r="C35" s="36" t="n">
        <f aca="false">IF(B35="","",Anggaran!E27)</f>
        <v>150000</v>
      </c>
      <c r="D35" s="44" t="n">
        <f aca="false">IF(B35="","",IF($C$39=0,0,C35/$C$39))</f>
        <v>0.00491320013101867</v>
      </c>
    </row>
    <row r="36" customFormat="false" ht="15" hidden="false" customHeight="false" outlineLevel="0" collapsed="false">
      <c r="B36" s="40" t="str">
        <f aca="false">Anggaran!C28</f>
        <v>Pengeluaran Lain-lain</v>
      </c>
      <c r="C36" s="36" t="n">
        <f aca="false">IF(B36="","",Anggaran!E28)</f>
        <v>0</v>
      </c>
      <c r="D36" s="44" t="n">
        <f aca="false">IF(B36="","",IF($C$39=0,0,C36/$C$39))</f>
        <v>0</v>
      </c>
    </row>
    <row r="37" customFormat="false" ht="15" hidden="false" customHeight="false" outlineLevel="0" collapsed="false">
      <c r="B37" s="40" t="str">
        <f aca="false">Anggaran!C29</f>
        <v/>
      </c>
      <c r="C37" s="36" t="str">
        <f aca="false">IF(B37="","",Anggaran!E29)</f>
        <v/>
      </c>
      <c r="D37" s="44" t="str">
        <f aca="false">IF(B37="","",IF($C$39=0,0,C37/$C$39))</f>
        <v/>
      </c>
    </row>
    <row r="38" customFormat="false" ht="15" hidden="false" customHeight="false" outlineLevel="0" collapsed="false">
      <c r="B38" s="40" t="str">
        <f aca="false">Anggaran!C30</f>
        <v/>
      </c>
      <c r="C38" s="36" t="str">
        <f aca="false">IF(B38="","",Anggaran!E30)</f>
        <v/>
      </c>
      <c r="D38" s="44" t="str">
        <f aca="false">IF(B38="","",IF($C$39=0,0,C38/$C$39))</f>
        <v/>
      </c>
    </row>
    <row r="39" customFormat="false" ht="15" hidden="false" customHeight="false" outlineLevel="0" collapsed="false">
      <c r="B39" s="67" t="s">
        <v>3</v>
      </c>
      <c r="C39" s="46" t="n">
        <f aca="false">SUM(C27:C38)</f>
        <v>30530000</v>
      </c>
      <c r="D39" s="47" t="n">
        <f aca="false">IF(C39=0,0,1)</f>
        <v>1</v>
      </c>
    </row>
    <row r="41" customFormat="false" ht="15" hidden="false" customHeight="false" outlineLevel="0" collapsed="false">
      <c r="B41" s="10" t="s">
        <v>255</v>
      </c>
    </row>
    <row r="42" customFormat="false" ht="15" hidden="false" customHeight="false" outlineLevel="0" collapsed="false">
      <c r="B42" s="70" t="s">
        <v>4</v>
      </c>
      <c r="C42" s="71" t="n">
        <f aca="false">C23-C39</f>
        <v>-9687000</v>
      </c>
    </row>
    <row r="43" customFormat="false" ht="15" hidden="false" customHeight="false" outlineLevel="0" collapsed="false">
      <c r="B43" s="40" t="s">
        <v>256</v>
      </c>
      <c r="C43" s="36" t="n">
        <f aca="false">Aset!M36</f>
        <v>13416666.6666667</v>
      </c>
    </row>
    <row r="44" customFormat="false" ht="15" hidden="false" customHeight="false" outlineLevel="0" collapsed="false">
      <c r="B44" s="40" t="s">
        <v>257</v>
      </c>
      <c r="C44" s="72" t="n">
        <f aca="false">Event!K29</f>
        <v>4550000</v>
      </c>
    </row>
    <row r="47" customFormat="false" ht="15" hidden="false" customHeight="false" outlineLevel="0" collapsed="false">
      <c r="D47" s="73" t="s">
        <v>258</v>
      </c>
      <c r="E47" s="74" t="n">
        <f aca="false">Pengaturan!$C$14</f>
        <v>46313</v>
      </c>
    </row>
    <row r="48" customFormat="false" ht="15" hidden="false" customHeight="false" outlineLevel="0" collapsed="false">
      <c r="B48" s="75" t="s">
        <v>259</v>
      </c>
      <c r="D48" s="76" t="s">
        <v>260</v>
      </c>
      <c r="E48" s="76"/>
    </row>
    <row r="49" customFormat="false" ht="15" hidden="false" customHeight="false" outlineLevel="0" collapsed="false">
      <c r="B49" s="77" t="s">
        <v>48</v>
      </c>
      <c r="D49" s="78"/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" hidden="false" customHeight="false" outlineLevel="0" collapsed="false">
      <c r="B53" s="79" t="str">
        <f aca="false">Pengaturan!$C$8</f>
        <v>Nama Ketua</v>
      </c>
      <c r="D53" s="79" t="str">
        <f aca="false">Pengaturan!$C$9</f>
        <v>Nama Bendahara</v>
      </c>
      <c r="E53" s="79"/>
    </row>
  </sheetData>
  <mergeCells count="4">
    <mergeCell ref="B1:G1"/>
    <mergeCell ref="B2:G2"/>
    <mergeCell ref="D48:E48"/>
    <mergeCell ref="D53:E53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1A"/>
    <pageSetUpPr fitToPage="tru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6" min="3" style="0" width="19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19.5" hidden="false" customHeight="true" outlineLevel="0" collapsed="false">
      <c r="A2" s="1"/>
      <c r="B2" s="3" t="str">
        <f aca="false">"LAPORAN KEUANGAN PER EVENT — pilih event pada sel kuning di bawah  •  Tahun Buku "&amp;Pengaturan!$C$6</f>
        <v>LAPORAN KEUANGAN PER EVENT — pilih event pada sel kuning di bawah  •  Tahun Buku 2026</v>
      </c>
      <c r="C2" s="3"/>
      <c r="D2" s="3"/>
      <c r="E2" s="3"/>
      <c r="F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</row>
    <row r="5" customFormat="false" ht="25.5" hidden="false" customHeight="true" outlineLevel="0" collapsed="false">
      <c r="B5" s="80" t="s">
        <v>261</v>
      </c>
      <c r="C5" s="81" t="s">
        <v>50</v>
      </c>
      <c r="D5" s="81"/>
      <c r="E5" s="81"/>
      <c r="F5" s="81"/>
    </row>
    <row r="6" customFormat="false" ht="15" hidden="false" customHeight="false" outlineLevel="0" collapsed="false">
      <c r="B6" s="43" t="s">
        <v>262</v>
      </c>
      <c r="C6" s="82" t="n">
        <f aca="false">IFERROR(INDEX(Event!$D$9:$D$28,MATCH($C$5,Event!$C$9:$C$28,0)),"-")</f>
        <v>46073</v>
      </c>
      <c r="D6" s="82"/>
      <c r="E6" s="82"/>
      <c r="F6" s="82"/>
    </row>
    <row r="7" customFormat="false" ht="15" hidden="false" customHeight="false" outlineLevel="0" collapsed="false">
      <c r="B7" s="43" t="s">
        <v>193</v>
      </c>
      <c r="C7" s="43" t="str">
        <f aca="false">IFERROR(INDEX(Event!$F$9:$F$28,MATCH($C$5,Event!$C$9:$C$28,0)),"-")</f>
        <v>Aula Kampus Jember</v>
      </c>
      <c r="D7" s="43"/>
      <c r="E7" s="43"/>
      <c r="F7" s="43"/>
    </row>
    <row r="8" customFormat="false" ht="15" hidden="false" customHeight="false" outlineLevel="0" collapsed="false">
      <c r="B8" s="43" t="s">
        <v>35</v>
      </c>
      <c r="C8" s="43" t="str">
        <f aca="false">IFERROR(INDEX(Event!$G$9:$G$28,MATCH($C$5,Event!$C$9:$C$28,0)),"-")</f>
        <v>Ketua Panitia</v>
      </c>
      <c r="D8" s="43"/>
      <c r="E8" s="43"/>
      <c r="F8" s="43"/>
    </row>
    <row r="9" customFormat="false" ht="15" hidden="false" customHeight="false" outlineLevel="0" collapsed="false">
      <c r="B9" s="43" t="s">
        <v>263</v>
      </c>
      <c r="C9" s="83" t="n">
        <f aca="false">IFERROR(INDEX(Event!$H$9:$H$28,MATCH($C$5,Event!$C$9:$C$28,0)),"-")</f>
        <v>8000000</v>
      </c>
      <c r="D9" s="83"/>
      <c r="E9" s="83"/>
      <c r="F9" s="83"/>
    </row>
    <row r="10" customFormat="false" ht="15" hidden="false" customHeight="false" outlineLevel="0" collapsed="false">
      <c r="B10" s="43" t="s">
        <v>173</v>
      </c>
      <c r="C10" s="43" t="str">
        <f aca="false">IFERROR(INDEX(Event!$N$9:$N$28,MATCH($C$5,Event!$C$9:$C$28,0)),"-")</f>
        <v>Selesai</v>
      </c>
      <c r="D10" s="43"/>
      <c r="E10" s="43"/>
      <c r="F10" s="43"/>
    </row>
    <row r="12" customFormat="false" ht="15" hidden="false" customHeight="false" outlineLevel="0" collapsed="false">
      <c r="B12" s="10" t="s">
        <v>264</v>
      </c>
    </row>
    <row r="13" customFormat="false" ht="25.5" hidden="false" customHeight="true" outlineLevel="0" collapsed="false">
      <c r="B13" s="30" t="s">
        <v>29</v>
      </c>
      <c r="C13" s="30" t="s">
        <v>16</v>
      </c>
      <c r="D13" s="30" t="s">
        <v>253</v>
      </c>
    </row>
    <row r="14" customFormat="false" ht="15" hidden="false" customHeight="false" outlineLevel="0" collapsed="false">
      <c r="B14" s="40" t="str">
        <f aca="false">Anggaran!C6</f>
        <v>Donasi</v>
      </c>
      <c r="C14" s="36" t="n">
        <f aca="false">IF(B14="","",SUMIFS(Transaksi!$J$6:$J$505,Transaksi!$F$6:$F$505,B14,Transaksi!$O$6:$O$505,$C$5))</f>
        <v>2000000</v>
      </c>
      <c r="D14" s="44" t="n">
        <f aca="false">IF(B14="","",IF($C$22=0,0,C14/$C$22))</f>
        <v>0.19047619047619</v>
      </c>
    </row>
    <row r="15" customFormat="false" ht="15" hidden="false" customHeight="false" outlineLevel="0" collapsed="false">
      <c r="B15" s="40" t="str">
        <f aca="false">Anggaran!C7</f>
        <v>Sponsor</v>
      </c>
      <c r="C15" s="36" t="n">
        <f aca="false">IF(B15="","",SUMIFS(Transaksi!$J$6:$J$505,Transaksi!$F$6:$F$505,B15,Transaksi!$O$6:$O$505,$C$5))</f>
        <v>5000000</v>
      </c>
      <c r="D15" s="44" t="n">
        <f aca="false">IF(B15="","",IF($C$22=0,0,C15/$C$22))</f>
        <v>0.476190476190476</v>
      </c>
    </row>
    <row r="16" customFormat="false" ht="15" hidden="false" customHeight="false" outlineLevel="0" collapsed="false">
      <c r="B16" s="40" t="str">
        <f aca="false">Anggaran!C8</f>
        <v>Pendaftaran / Tiket Event</v>
      </c>
      <c r="C16" s="36" t="n">
        <f aca="false">IF(B16="","",SUMIFS(Transaksi!$J$6:$J$505,Transaksi!$F$6:$F$505,B16,Transaksi!$O$6:$O$505,$C$5))</f>
        <v>3500000</v>
      </c>
      <c r="D16" s="44" t="n">
        <f aca="false">IF(B16="","",IF($C$22=0,0,C16/$C$22))</f>
        <v>0.333333333333333</v>
      </c>
    </row>
    <row r="17" customFormat="false" ht="15" hidden="false" customHeight="false" outlineLevel="0" collapsed="false">
      <c r="B17" s="40" t="str">
        <f aca="false">Anggaran!C9</f>
        <v>Hasil Usaha / Bazar</v>
      </c>
      <c r="C17" s="36" t="n">
        <f aca="false">IF(B17="","",SUMIFS(Transaksi!$J$6:$J$505,Transaksi!$F$6:$F$505,B17,Transaksi!$O$6:$O$505,$C$5))</f>
        <v>0</v>
      </c>
      <c r="D17" s="44" t="n">
        <f aca="false">IF(B17="","",IF($C$22=0,0,C17/$C$22))</f>
        <v>0</v>
      </c>
    </row>
    <row r="18" customFormat="false" ht="15" hidden="false" customHeight="false" outlineLevel="0" collapsed="false">
      <c r="B18" s="40" t="str">
        <f aca="false">Anggaran!C10</f>
        <v>Hibah / Bantuan</v>
      </c>
      <c r="C18" s="36" t="n">
        <f aca="false">IF(B18="","",SUMIFS(Transaksi!$J$6:$J$505,Transaksi!$F$6:$F$505,B18,Transaksi!$O$6:$O$505,$C$5))</f>
        <v>0</v>
      </c>
      <c r="D18" s="44" t="n">
        <f aca="false">IF(B18="","",IF($C$22=0,0,C18/$C$22))</f>
        <v>0</v>
      </c>
    </row>
    <row r="19" customFormat="false" ht="15" hidden="false" customHeight="false" outlineLevel="0" collapsed="false">
      <c r="B19" s="40" t="str">
        <f aca="false">Anggaran!C11</f>
        <v>Bunga Bank</v>
      </c>
      <c r="C19" s="36" t="n">
        <f aca="false">IF(B19="","",SUMIFS(Transaksi!$J$6:$J$505,Transaksi!$F$6:$F$505,B19,Transaksi!$O$6:$O$505,$C$5))</f>
        <v>0</v>
      </c>
      <c r="D19" s="44" t="n">
        <f aca="false">IF(B19="","",IF($C$22=0,0,C19/$C$22))</f>
        <v>0</v>
      </c>
    </row>
    <row r="20" customFormat="false" ht="15" hidden="false" customHeight="false" outlineLevel="0" collapsed="false">
      <c r="B20" s="40" t="str">
        <f aca="false">Anggaran!C12</f>
        <v>Pemasukan Lain-lain</v>
      </c>
      <c r="C20" s="36" t="n">
        <f aca="false">IF(B20="","",SUMIFS(Transaksi!$J$6:$J$505,Transaksi!$F$6:$F$505,B20,Transaksi!$O$6:$O$505,$C$5))</f>
        <v>0</v>
      </c>
      <c r="D20" s="44" t="n">
        <f aca="false">IF(B20="","",IF($C$22=0,0,C20/$C$22))</f>
        <v>0</v>
      </c>
    </row>
    <row r="21" customFormat="false" ht="15" hidden="false" customHeight="false" outlineLevel="0" collapsed="false">
      <c r="B21" s="40" t="str">
        <f aca="false">Anggaran!C13</f>
        <v/>
      </c>
      <c r="C21" s="36" t="str">
        <f aca="false">IF(B21="","",SUMIFS(Transaksi!$J$6:$J$505,Transaksi!$F$6:$F$505,B21,Transaksi!$O$6:$O$505,$C$5))</f>
        <v/>
      </c>
      <c r="D21" s="44" t="str">
        <f aca="false">IF(B21="","",IF($C$22=0,0,C21/$C$22))</f>
        <v/>
      </c>
    </row>
    <row r="22" customFormat="false" ht="15" hidden="false" customHeight="false" outlineLevel="0" collapsed="false">
      <c r="B22" s="67" t="s">
        <v>2</v>
      </c>
      <c r="C22" s="46" t="n">
        <f aca="false">SUM(C14:C21)</f>
        <v>10500000</v>
      </c>
      <c r="D22" s="47" t="n">
        <f aca="false">IF(C22=0,0,1)</f>
        <v>1</v>
      </c>
    </row>
    <row r="24" customFormat="false" ht="15" hidden="false" customHeight="false" outlineLevel="0" collapsed="false">
      <c r="B24" s="10" t="s">
        <v>265</v>
      </c>
    </row>
    <row r="25" customFormat="false" ht="25.5" hidden="false" customHeight="true" outlineLevel="0" collapsed="false">
      <c r="B25" s="30" t="s">
        <v>29</v>
      </c>
      <c r="C25" s="30" t="s">
        <v>16</v>
      </c>
      <c r="D25" s="30" t="s">
        <v>253</v>
      </c>
    </row>
    <row r="26" customFormat="false" ht="15" hidden="false" customHeight="false" outlineLevel="0" collapsed="false">
      <c r="B26" s="40" t="str">
        <f aca="false">Anggaran!C19</f>
        <v>Kegiatan / Program</v>
      </c>
      <c r="C26" s="36" t="n">
        <f aca="false">IF(B26="","",SUMIFS(Transaksi!$K$6:$K$505,Transaksi!$F$6:$F$505,B26,Transaksi!$O$6:$O$505,$C$5))</f>
        <v>6500000</v>
      </c>
      <c r="D26" s="44" t="n">
        <f aca="false">IF(B26="","",IF($C$38=0,0,C26/$C$38))</f>
        <v>1</v>
      </c>
    </row>
    <row r="27" customFormat="false" ht="15" hidden="false" customHeight="false" outlineLevel="0" collapsed="false">
      <c r="B27" s="40" t="str">
        <f aca="false">Anggaran!C20</f>
        <v>Konsumsi</v>
      </c>
      <c r="C27" s="36" t="n">
        <f aca="false">IF(B27="","",SUMIFS(Transaksi!$K$6:$K$505,Transaksi!$F$6:$F$505,B27,Transaksi!$O$6:$O$505,$C$5))</f>
        <v>0</v>
      </c>
      <c r="D27" s="44" t="n">
        <f aca="false">IF(B27="","",IF($C$38=0,0,C27/$C$38))</f>
        <v>0</v>
      </c>
    </row>
    <row r="28" customFormat="false" ht="15" hidden="false" customHeight="false" outlineLevel="0" collapsed="false">
      <c r="B28" s="40" t="str">
        <f aca="false">Anggaran!C21</f>
        <v>Transportasi</v>
      </c>
      <c r="C28" s="36" t="n">
        <f aca="false">IF(B28="","",SUMIFS(Transaksi!$K$6:$K$505,Transaksi!$F$6:$F$505,B28,Transaksi!$O$6:$O$505,$C$5))</f>
        <v>0</v>
      </c>
      <c r="D28" s="44" t="n">
        <f aca="false">IF(B28="","",IF($C$38=0,0,C28/$C$38))</f>
        <v>0</v>
      </c>
    </row>
    <row r="29" customFormat="false" ht="15" hidden="false" customHeight="false" outlineLevel="0" collapsed="false">
      <c r="B29" s="40" t="str">
        <f aca="false">Anggaran!C22</f>
        <v>ATK &amp; Percetakan</v>
      </c>
      <c r="C29" s="36" t="n">
        <f aca="false">IF(B29="","",SUMIFS(Transaksi!$K$6:$K$505,Transaksi!$F$6:$F$505,B29,Transaksi!$O$6:$O$505,$C$5))</f>
        <v>0</v>
      </c>
      <c r="D29" s="44" t="n">
        <f aca="false">IF(B29="","",IF($C$38=0,0,C29/$C$38))</f>
        <v>0</v>
      </c>
    </row>
    <row r="30" customFormat="false" ht="15" hidden="false" customHeight="false" outlineLevel="0" collapsed="false">
      <c r="B30" s="40" t="str">
        <f aca="false">Anggaran!C23</f>
        <v>Sewa &amp; Utilitas</v>
      </c>
      <c r="C30" s="36" t="n">
        <f aca="false">IF(B30="","",SUMIFS(Transaksi!$K$6:$K$505,Transaksi!$F$6:$F$505,B30,Transaksi!$O$6:$O$505,$C$5))</f>
        <v>0</v>
      </c>
      <c r="D30" s="44" t="n">
        <f aca="false">IF(B30="","",IF($C$38=0,0,C30/$C$38))</f>
        <v>0</v>
      </c>
    </row>
    <row r="31" customFormat="false" ht="15" hidden="false" customHeight="false" outlineLevel="0" collapsed="false">
      <c r="B31" s="40" t="str">
        <f aca="false">Anggaran!C24</f>
        <v>Honor / Insentif</v>
      </c>
      <c r="C31" s="36" t="n">
        <f aca="false">IF(B31="","",SUMIFS(Transaksi!$K$6:$K$505,Transaksi!$F$6:$F$505,B31,Transaksi!$O$6:$O$505,$C$5))</f>
        <v>0</v>
      </c>
      <c r="D31" s="44" t="n">
        <f aca="false">IF(B31="","",IF($C$38=0,0,C31/$C$38))</f>
        <v>0</v>
      </c>
    </row>
    <row r="32" customFormat="false" ht="15" hidden="false" customHeight="false" outlineLevel="0" collapsed="false">
      <c r="B32" s="40" t="str">
        <f aca="false">Anggaran!C25</f>
        <v>Sosial / Santunan</v>
      </c>
      <c r="C32" s="36" t="n">
        <f aca="false">IF(B32="","",SUMIFS(Transaksi!$K$6:$K$505,Transaksi!$F$6:$F$505,B32,Transaksi!$O$6:$O$505,$C$5))</f>
        <v>0</v>
      </c>
      <c r="D32" s="44" t="n">
        <f aca="false">IF(B32="","",IF($C$38=0,0,C32/$C$38))</f>
        <v>0</v>
      </c>
    </row>
    <row r="33" customFormat="false" ht="15" hidden="false" customHeight="false" outlineLevel="0" collapsed="false">
      <c r="B33" s="40" t="str">
        <f aca="false">Anggaran!C26</f>
        <v>Perlengkapan / Aset</v>
      </c>
      <c r="C33" s="36" t="n">
        <f aca="false">IF(B33="","",SUMIFS(Transaksi!$K$6:$K$505,Transaksi!$F$6:$F$505,B33,Transaksi!$O$6:$O$505,$C$5))</f>
        <v>0</v>
      </c>
      <c r="D33" s="44" t="n">
        <f aca="false">IF(B33="","",IF($C$38=0,0,C33/$C$38))</f>
        <v>0</v>
      </c>
    </row>
    <row r="34" customFormat="false" ht="15" hidden="false" customHeight="false" outlineLevel="0" collapsed="false">
      <c r="B34" s="40" t="str">
        <f aca="false">Anggaran!C27</f>
        <v>Administrasi Bank</v>
      </c>
      <c r="C34" s="36" t="n">
        <f aca="false">IF(B34="","",SUMIFS(Transaksi!$K$6:$K$505,Transaksi!$F$6:$F$505,B34,Transaksi!$O$6:$O$505,$C$5))</f>
        <v>0</v>
      </c>
      <c r="D34" s="44" t="n">
        <f aca="false">IF(B34="","",IF($C$38=0,0,C34/$C$38))</f>
        <v>0</v>
      </c>
    </row>
    <row r="35" customFormat="false" ht="15" hidden="false" customHeight="false" outlineLevel="0" collapsed="false">
      <c r="B35" s="40" t="str">
        <f aca="false">Anggaran!C28</f>
        <v>Pengeluaran Lain-lain</v>
      </c>
      <c r="C35" s="36" t="n">
        <f aca="false">IF(B35="","",SUMIFS(Transaksi!$K$6:$K$505,Transaksi!$F$6:$F$505,B35,Transaksi!$O$6:$O$505,$C$5))</f>
        <v>0</v>
      </c>
      <c r="D35" s="44" t="n">
        <f aca="false">IF(B35="","",IF($C$38=0,0,C35/$C$38))</f>
        <v>0</v>
      </c>
    </row>
    <row r="36" customFormat="false" ht="15" hidden="false" customHeight="false" outlineLevel="0" collapsed="false">
      <c r="B36" s="40" t="str">
        <f aca="false">Anggaran!C29</f>
        <v/>
      </c>
      <c r="C36" s="36" t="str">
        <f aca="false">IF(B36="","",SUMIFS(Transaksi!$K$6:$K$505,Transaksi!$F$6:$F$505,B36,Transaksi!$O$6:$O$505,$C$5))</f>
        <v/>
      </c>
      <c r="D36" s="44" t="str">
        <f aca="false">IF(B36="","",IF($C$38=0,0,C36/$C$38))</f>
        <v/>
      </c>
    </row>
    <row r="37" customFormat="false" ht="15" hidden="false" customHeight="false" outlineLevel="0" collapsed="false">
      <c r="B37" s="40" t="str">
        <f aca="false">Anggaran!C30</f>
        <v/>
      </c>
      <c r="C37" s="36" t="str">
        <f aca="false">IF(B37="","",SUMIFS(Transaksi!$K$6:$K$505,Transaksi!$F$6:$F$505,B37,Transaksi!$O$6:$O$505,$C$5))</f>
        <v/>
      </c>
      <c r="D37" s="44" t="str">
        <f aca="false">IF(B37="","",IF($C$38=0,0,C37/$C$38))</f>
        <v/>
      </c>
    </row>
    <row r="38" customFormat="false" ht="15" hidden="false" customHeight="false" outlineLevel="0" collapsed="false">
      <c r="B38" s="67" t="s">
        <v>3</v>
      </c>
      <c r="C38" s="46" t="n">
        <f aca="false">SUM(C26:C37)</f>
        <v>6500000</v>
      </c>
      <c r="D38" s="47" t="n">
        <f aca="false">IF(C38=0,0,1)</f>
        <v>1</v>
      </c>
    </row>
    <row r="40" customFormat="false" ht="15" hidden="false" customHeight="false" outlineLevel="0" collapsed="false">
      <c r="B40" s="10" t="s">
        <v>266</v>
      </c>
    </row>
    <row r="41" customFormat="false" ht="15" hidden="false" customHeight="false" outlineLevel="0" collapsed="false">
      <c r="B41" s="84" t="s">
        <v>267</v>
      </c>
      <c r="C41" s="85" t="n">
        <f aca="false">C22-C38</f>
        <v>4000000</v>
      </c>
    </row>
    <row r="42" customFormat="false" ht="15" hidden="false" customHeight="false" outlineLevel="0" collapsed="false">
      <c r="B42" s="40" t="s">
        <v>268</v>
      </c>
      <c r="C42" s="44" t="n">
        <f aca="false">IF(N(C9)=0,0,C38/C9)</f>
        <v>0.8125</v>
      </c>
    </row>
    <row r="43" customFormat="false" ht="15" hidden="false" customHeight="false" outlineLevel="0" collapsed="false">
      <c r="B43" s="40" t="s">
        <v>269</v>
      </c>
      <c r="C43" s="86" t="n">
        <f aca="false">COUNTIF(Transaksi!$O$6:$O$505,$C$5)</f>
        <v>4</v>
      </c>
    </row>
    <row r="46" customFormat="false" ht="15" hidden="false" customHeight="false" outlineLevel="0" collapsed="false">
      <c r="E46" s="73" t="s">
        <v>258</v>
      </c>
      <c r="F46" s="74" t="n">
        <f aca="false">Pengaturan!$C$14</f>
        <v>46313</v>
      </c>
    </row>
    <row r="47" customFormat="false" ht="15" hidden="false" customHeight="false" outlineLevel="0" collapsed="false">
      <c r="B47" s="77" t="s">
        <v>48</v>
      </c>
      <c r="C47" s="87" t="s">
        <v>55</v>
      </c>
      <c r="D47" s="87"/>
      <c r="E47" s="87" t="s">
        <v>43</v>
      </c>
      <c r="F47" s="87"/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" hidden="false" customHeight="false" outlineLevel="0" collapsed="false">
      <c r="B51" s="79" t="str">
        <f aca="false">Pengaturan!$C$8</f>
        <v>Nama Ketua</v>
      </c>
      <c r="C51" s="79" t="str">
        <f aca="false">Pengaturan!$C$12</f>
        <v>Nama Sekretaris</v>
      </c>
      <c r="D51" s="79"/>
      <c r="E51" s="79" t="str">
        <f aca="false">Pengaturan!$C$9</f>
        <v>Nama Bendahara</v>
      </c>
      <c r="F51" s="79"/>
    </row>
  </sheetData>
  <mergeCells count="12">
    <mergeCell ref="B1:F1"/>
    <mergeCell ref="B2:F2"/>
    <mergeCell ref="C5:F5"/>
    <mergeCell ref="C6:F6"/>
    <mergeCell ref="C7:F7"/>
    <mergeCell ref="C8:F8"/>
    <mergeCell ref="C9:F9"/>
    <mergeCell ref="C10:F10"/>
    <mergeCell ref="C47:D47"/>
    <mergeCell ref="E47:F47"/>
    <mergeCell ref="C51:D51"/>
    <mergeCell ref="E51:F51"/>
  </mergeCells>
  <conditionalFormatting sqref="C41">
    <cfRule type="cellIs" priority="2" operator="lessThan" aboveAverage="0" equalAverage="0" bottom="0" percent="0" rank="0" text="" dxfId="16">
      <formula>0</formula>
    </cfRule>
  </conditionalFormatting>
  <dataValidations count="1">
    <dataValidation allowBlank="false" error="Pilih event dari daftar (didaftarkan di sheet Event)." errorStyle="stop" errorTitle="Pilih dari daftar" operator="between" showDropDown="false" showErrorMessage="true" showInputMessage="false" sqref="C5" type="list">
      <formula1>DaftarEvent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522"/>
    <pageSetUpPr fitToPage="tru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18"/>
    <col collapsed="false" customWidth="true" hidden="false" outlineLevel="0" max="11" min="11" style="0" width="3"/>
    <col collapsed="false" customWidth="true" hidden="false" outlineLevel="0" max="12" min="12" style="0" width="16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A2" s="1"/>
      <c r="B2" s="3" t="s">
        <v>270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5" hidden="false" customHeight="false" outlineLevel="0" collapsed="false">
      <c r="B4" s="10" t="s">
        <v>271</v>
      </c>
    </row>
    <row r="5" customFormat="false" ht="19.5" hidden="false" customHeight="true" outlineLevel="0" collapsed="false">
      <c r="B5" s="43" t="s">
        <v>272</v>
      </c>
      <c r="C5" s="34" t="s">
        <v>273</v>
      </c>
      <c r="D5" s="68" t="s">
        <v>274</v>
      </c>
    </row>
    <row r="6" customFormat="false" ht="19.5" hidden="false" customHeight="true" outlineLevel="0" collapsed="false">
      <c r="B6" s="43" t="s">
        <v>275</v>
      </c>
      <c r="C6" s="88" t="n">
        <v>2026</v>
      </c>
      <c r="D6" s="68" t="s">
        <v>276</v>
      </c>
    </row>
    <row r="7" customFormat="false" ht="19.5" hidden="false" customHeight="true" outlineLevel="0" collapsed="false">
      <c r="B7" s="43" t="s">
        <v>277</v>
      </c>
      <c r="C7" s="34" t="s">
        <v>278</v>
      </c>
      <c r="D7" s="68" t="s">
        <v>279</v>
      </c>
    </row>
    <row r="8" customFormat="false" ht="19.5" hidden="false" customHeight="true" outlineLevel="0" collapsed="false">
      <c r="B8" s="43" t="s">
        <v>280</v>
      </c>
      <c r="C8" s="34" t="s">
        <v>280</v>
      </c>
      <c r="D8" s="68" t="s">
        <v>281</v>
      </c>
    </row>
    <row r="9" customFormat="false" ht="19.5" hidden="false" customHeight="true" outlineLevel="0" collapsed="false">
      <c r="B9" s="43" t="s">
        <v>282</v>
      </c>
      <c r="C9" s="34" t="s">
        <v>282</v>
      </c>
      <c r="D9" s="68" t="s">
        <v>281</v>
      </c>
    </row>
    <row r="10" customFormat="false" ht="19.5" hidden="false" customHeight="true" outlineLevel="0" collapsed="false">
      <c r="B10" s="43" t="s">
        <v>283</v>
      </c>
      <c r="C10" s="35" t="n">
        <v>10000000</v>
      </c>
      <c r="D10" s="68" t="s">
        <v>284</v>
      </c>
    </row>
    <row r="11" customFormat="false" ht="19.5" hidden="false" customHeight="true" outlineLevel="0" collapsed="false">
      <c r="B11" s="43" t="s">
        <v>285</v>
      </c>
      <c r="C11" s="35" t="n">
        <v>20000000</v>
      </c>
      <c r="D11" s="68" t="s">
        <v>286</v>
      </c>
    </row>
    <row r="12" customFormat="false" ht="19.5" hidden="false" customHeight="true" outlineLevel="0" collapsed="false">
      <c r="B12" s="43" t="s">
        <v>287</v>
      </c>
      <c r="C12" s="34" t="s">
        <v>287</v>
      </c>
      <c r="D12" s="68" t="s">
        <v>288</v>
      </c>
    </row>
    <row r="13" customFormat="false" ht="19.5" hidden="false" customHeight="true" outlineLevel="0" collapsed="false">
      <c r="B13" s="43" t="s">
        <v>289</v>
      </c>
      <c r="C13" s="34" t="s">
        <v>290</v>
      </c>
      <c r="D13" s="68" t="s">
        <v>291</v>
      </c>
    </row>
    <row r="14" customFormat="false" ht="19.5" hidden="false" customHeight="true" outlineLevel="0" collapsed="false">
      <c r="B14" s="43" t="s">
        <v>292</v>
      </c>
      <c r="C14" s="89" t="n">
        <v>46313</v>
      </c>
      <c r="D14" s="68" t="s">
        <v>293</v>
      </c>
    </row>
    <row r="15" customFormat="false" ht="19.5" hidden="false" customHeight="true" outlineLevel="0" collapsed="false">
      <c r="B15" s="43" t="s">
        <v>294</v>
      </c>
      <c r="C15" s="90" t="n">
        <v>0.8</v>
      </c>
      <c r="D15" s="68" t="s">
        <v>295</v>
      </c>
    </row>
    <row r="17" customFormat="false" ht="15" hidden="false" customHeight="false" outlineLevel="0" collapsed="false">
      <c r="B17" s="10" t="s">
        <v>296</v>
      </c>
    </row>
    <row r="18" customFormat="false" ht="27.75" hidden="false" customHeight="true" outlineLevel="0" collapsed="false">
      <c r="B18" s="30" t="s">
        <v>297</v>
      </c>
      <c r="D18" s="30" t="s">
        <v>298</v>
      </c>
      <c r="F18" s="30" t="s">
        <v>299</v>
      </c>
      <c r="H18" s="30" t="s">
        <v>34</v>
      </c>
      <c r="J18" s="30" t="s">
        <v>300</v>
      </c>
      <c r="L18" s="30" t="s">
        <v>301</v>
      </c>
    </row>
    <row r="19" customFormat="false" ht="15" hidden="false" customHeight="false" outlineLevel="0" collapsed="false">
      <c r="B19" s="34" t="s">
        <v>46</v>
      </c>
      <c r="D19" s="34" t="s">
        <v>72</v>
      </c>
      <c r="F19" s="34" t="s">
        <v>53</v>
      </c>
      <c r="H19" s="40" t="s">
        <v>302</v>
      </c>
      <c r="J19" s="40" t="s">
        <v>45</v>
      </c>
      <c r="L19" s="34" t="s">
        <v>225</v>
      </c>
    </row>
    <row r="20" customFormat="false" ht="15" hidden="false" customHeight="false" outlineLevel="0" collapsed="false">
      <c r="B20" s="34" t="s">
        <v>69</v>
      </c>
      <c r="D20" s="34" t="s">
        <v>57</v>
      </c>
      <c r="F20" s="34" t="s">
        <v>41</v>
      </c>
      <c r="H20" s="40" t="s">
        <v>303</v>
      </c>
      <c r="J20" s="40" t="s">
        <v>39</v>
      </c>
      <c r="L20" s="34" t="s">
        <v>234</v>
      </c>
    </row>
    <row r="21" customFormat="false" ht="15" hidden="false" customHeight="false" outlineLevel="0" collapsed="false">
      <c r="B21" s="34" t="s">
        <v>66</v>
      </c>
      <c r="D21" s="34" t="s">
        <v>100</v>
      </c>
      <c r="H21" s="40" t="s">
        <v>304</v>
      </c>
      <c r="L21" s="34" t="s">
        <v>305</v>
      </c>
    </row>
    <row r="22" customFormat="false" ht="15" hidden="false" customHeight="false" outlineLevel="0" collapsed="false">
      <c r="B22" s="34" t="s">
        <v>79</v>
      </c>
      <c r="D22" s="34" t="s">
        <v>52</v>
      </c>
      <c r="H22" s="40" t="s">
        <v>306</v>
      </c>
    </row>
    <row r="23" customFormat="false" ht="15" hidden="false" customHeight="false" outlineLevel="0" collapsed="false">
      <c r="B23" s="34" t="s">
        <v>109</v>
      </c>
      <c r="D23" s="34" t="s">
        <v>40</v>
      </c>
      <c r="H23" s="40" t="s">
        <v>307</v>
      </c>
    </row>
    <row r="24" customFormat="false" ht="15" hidden="false" customHeight="false" outlineLevel="0" collapsed="false">
      <c r="B24" s="34" t="s">
        <v>88</v>
      </c>
      <c r="D24" s="34" t="s">
        <v>117</v>
      </c>
      <c r="H24" s="40" t="s">
        <v>308</v>
      </c>
    </row>
    <row r="25" customFormat="false" ht="15" hidden="false" customHeight="false" outlineLevel="0" collapsed="false">
      <c r="B25" s="34" t="s">
        <v>309</v>
      </c>
      <c r="D25" s="34" t="s">
        <v>93</v>
      </c>
      <c r="H25" s="40" t="s">
        <v>310</v>
      </c>
    </row>
    <row r="26" customFormat="false" ht="15" hidden="false" customHeight="false" outlineLevel="0" collapsed="false">
      <c r="B26" s="34"/>
      <c r="D26" s="34" t="s">
        <v>105</v>
      </c>
      <c r="H26" s="40" t="s">
        <v>311</v>
      </c>
    </row>
    <row r="27" customFormat="false" ht="15" hidden="false" customHeight="false" outlineLevel="0" collapsed="false">
      <c r="D27" s="34" t="s">
        <v>62</v>
      </c>
      <c r="H27" s="40" t="s">
        <v>312</v>
      </c>
    </row>
    <row r="28" customFormat="false" ht="15" hidden="false" customHeight="false" outlineLevel="0" collapsed="false">
      <c r="D28" s="34" t="s">
        <v>313</v>
      </c>
      <c r="H28" s="40" t="s">
        <v>314</v>
      </c>
    </row>
    <row r="29" customFormat="false" ht="15" hidden="false" customHeight="false" outlineLevel="0" collapsed="false">
      <c r="D29" s="34"/>
      <c r="H29" s="40" t="s">
        <v>315</v>
      </c>
    </row>
    <row r="30" customFormat="false" ht="15" hidden="false" customHeight="false" outlineLevel="0" collapsed="false">
      <c r="D30" s="34"/>
      <c r="H30" s="40" t="s">
        <v>316</v>
      </c>
    </row>
    <row r="32" customFormat="false" ht="15" hidden="false" customHeight="false" outlineLevel="0" collapsed="false">
      <c r="B32" s="68" t="s">
        <v>317</v>
      </c>
    </row>
    <row r="33" customFormat="false" ht="15" hidden="false" customHeight="false" outlineLevel="0" collapsed="false">
      <c r="B33" s="68" t="s">
        <v>318</v>
      </c>
    </row>
  </sheetData>
  <mergeCells count="2">
    <mergeCell ref="B1:L1"/>
    <mergeCell ref="B2:L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522"/>
    <pageSetUpPr fitToPage="tru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"/>
    <col collapsed="false" customWidth="true" hidden="false" outlineLevel="0" max="3" min="3" style="0" width="120"/>
  </cols>
  <sheetData>
    <row r="1" customFormat="false" ht="37.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1"/>
      <c r="B2" s="3" t="s">
        <v>319</v>
      </c>
      <c r="C2" s="3"/>
      <c r="D2" s="3"/>
      <c r="E2" s="3"/>
      <c r="F2" s="3"/>
      <c r="G2" s="3"/>
      <c r="H2" s="3"/>
    </row>
    <row r="3" customFormat="false" ht="4.5" hidden="false" customHeight="true" outlineLevel="0" collapsed="false">
      <c r="A3" s="1"/>
      <c r="B3" s="4"/>
      <c r="C3" s="4"/>
      <c r="D3" s="4"/>
      <c r="E3" s="4"/>
      <c r="F3" s="4"/>
      <c r="G3" s="4"/>
      <c r="H3" s="4"/>
    </row>
    <row r="5" customFormat="false" ht="21.75" hidden="false" customHeight="true" outlineLevel="0" collapsed="false">
      <c r="B5" s="91" t="s">
        <v>320</v>
      </c>
      <c r="C5" s="91"/>
    </row>
    <row r="6" customFormat="false" ht="30" hidden="false" customHeight="true" outlineLevel="0" collapsed="false">
      <c r="B6" s="92" t="s">
        <v>321</v>
      </c>
      <c r="C6" s="93" t="s">
        <v>322</v>
      </c>
    </row>
    <row r="7" customFormat="false" ht="30" hidden="false" customHeight="true" outlineLevel="0" collapsed="false">
      <c r="B7" s="92" t="s">
        <v>323</v>
      </c>
      <c r="C7" s="93" t="s">
        <v>324</v>
      </c>
    </row>
    <row r="8" customFormat="false" ht="30" hidden="false" customHeight="true" outlineLevel="0" collapsed="false">
      <c r="B8" s="92" t="s">
        <v>325</v>
      </c>
      <c r="C8" s="93" t="s">
        <v>326</v>
      </c>
    </row>
    <row r="9" customFormat="false" ht="30" hidden="false" customHeight="true" outlineLevel="0" collapsed="false">
      <c r="B9" s="92" t="s">
        <v>327</v>
      </c>
      <c r="C9" s="93" t="s">
        <v>328</v>
      </c>
    </row>
    <row r="11" customFormat="false" ht="21.75" hidden="false" customHeight="true" outlineLevel="0" collapsed="false">
      <c r="B11" s="91" t="s">
        <v>329</v>
      </c>
      <c r="C11" s="91"/>
    </row>
    <row r="12" customFormat="false" ht="19.5" hidden="false" customHeight="true" outlineLevel="0" collapsed="false">
      <c r="B12" s="92" t="s">
        <v>330</v>
      </c>
      <c r="C12" s="93" t="s">
        <v>331</v>
      </c>
    </row>
    <row r="13" customFormat="false" ht="19.5" hidden="false" customHeight="true" outlineLevel="0" collapsed="false">
      <c r="B13" s="92" t="s">
        <v>330</v>
      </c>
      <c r="C13" s="93" t="s">
        <v>332</v>
      </c>
    </row>
    <row r="14" customFormat="false" ht="19.5" hidden="false" customHeight="true" outlineLevel="0" collapsed="false">
      <c r="B14" s="92" t="s">
        <v>330</v>
      </c>
      <c r="C14" s="93" t="s">
        <v>333</v>
      </c>
    </row>
    <row r="16" customFormat="false" ht="21.75" hidden="false" customHeight="true" outlineLevel="0" collapsed="false">
      <c r="B16" s="91" t="s">
        <v>334</v>
      </c>
      <c r="C16" s="91"/>
    </row>
    <row r="17" customFormat="false" ht="19.5" hidden="false" customHeight="true" outlineLevel="0" collapsed="false">
      <c r="B17" s="92" t="s">
        <v>330</v>
      </c>
      <c r="C17" s="93" t="s">
        <v>335</v>
      </c>
    </row>
    <row r="18" customFormat="false" ht="19.5" hidden="false" customHeight="true" outlineLevel="0" collapsed="false">
      <c r="B18" s="92" t="s">
        <v>330</v>
      </c>
      <c r="C18" s="93" t="s">
        <v>336</v>
      </c>
    </row>
    <row r="19" customFormat="false" ht="30" hidden="false" customHeight="true" outlineLevel="0" collapsed="false">
      <c r="B19" s="92" t="s">
        <v>330</v>
      </c>
      <c r="C19" s="93" t="s">
        <v>337</v>
      </c>
    </row>
    <row r="21" customFormat="false" ht="21.75" hidden="false" customHeight="true" outlineLevel="0" collapsed="false">
      <c r="B21" s="91" t="s">
        <v>338</v>
      </c>
      <c r="C21" s="91"/>
    </row>
    <row r="22" customFormat="false" ht="30" hidden="false" customHeight="true" outlineLevel="0" collapsed="false">
      <c r="B22" s="92" t="s">
        <v>330</v>
      </c>
      <c r="C22" s="93" t="s">
        <v>339</v>
      </c>
    </row>
    <row r="23" customFormat="false" ht="30" hidden="false" customHeight="true" outlineLevel="0" collapsed="false">
      <c r="B23" s="92" t="s">
        <v>330</v>
      </c>
      <c r="C23" s="93" t="s">
        <v>340</v>
      </c>
    </row>
    <row r="24" customFormat="false" ht="30" hidden="false" customHeight="true" outlineLevel="0" collapsed="false">
      <c r="B24" s="92" t="s">
        <v>330</v>
      </c>
      <c r="C24" s="93" t="s">
        <v>341</v>
      </c>
    </row>
    <row r="25" customFormat="false" ht="30" hidden="false" customHeight="true" outlineLevel="0" collapsed="false">
      <c r="B25" s="92" t="s">
        <v>330</v>
      </c>
      <c r="C25" s="93" t="s">
        <v>342</v>
      </c>
    </row>
    <row r="27" customFormat="false" ht="21.75" hidden="false" customHeight="true" outlineLevel="0" collapsed="false">
      <c r="B27" s="91" t="s">
        <v>343</v>
      </c>
      <c r="C27" s="91"/>
    </row>
    <row r="28" customFormat="false" ht="30" hidden="false" customHeight="true" outlineLevel="0" collapsed="false">
      <c r="B28" s="92" t="s">
        <v>330</v>
      </c>
      <c r="C28" s="93" t="s">
        <v>344</v>
      </c>
    </row>
    <row r="29" customFormat="false" ht="30" hidden="false" customHeight="true" outlineLevel="0" collapsed="false">
      <c r="B29" s="92" t="s">
        <v>330</v>
      </c>
      <c r="C29" s="93" t="s">
        <v>345</v>
      </c>
    </row>
    <row r="30" customFormat="false" ht="30" hidden="false" customHeight="true" outlineLevel="0" collapsed="false">
      <c r="B30" s="92" t="s">
        <v>330</v>
      </c>
      <c r="C30" s="93" t="s">
        <v>346</v>
      </c>
    </row>
  </sheetData>
  <mergeCells count="7">
    <mergeCell ref="B1:H1"/>
    <mergeCell ref="B2:H2"/>
    <mergeCell ref="B5:C5"/>
    <mergeCell ref="B11:C11"/>
    <mergeCell ref="B16:C16"/>
    <mergeCell ref="B21:C21"/>
    <mergeCell ref="B27:C27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2026-10-17T23:40:33Z</dcterms:created>
  <dc:creator>openpyxl</dc:creator>
  <dc:description/>
  <dc:language>en-US</dc:language>
  <cp:lastModifiedBy/>
  <dcterms:modified xsi:type="dcterms:W3CDTF">2026-10-17T23:40:38Z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